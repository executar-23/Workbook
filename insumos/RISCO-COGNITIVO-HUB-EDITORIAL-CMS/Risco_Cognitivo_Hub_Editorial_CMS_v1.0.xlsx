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a570bf9c0f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2a107990f9fc4c83"/>
    <x:sheet xmlns:r="http://schemas.openxmlformats.org/officeDocument/2006/relationships" name="00A_DESIGN_SYSTEM" sheetId="2" r:id="Rfa0948426149492a"/>
    <x:sheet xmlns:r="http://schemas.openxmlformats.org/officeDocument/2006/relationships" name="01_DASHBOARD" sheetId="3" r:id="R2a1b25256d9440f6"/>
    <x:sheet xmlns:r="http://schemas.openxmlformats.org/officeDocument/2006/relationships" name="02_BANCO_CONTEUDO" sheetId="4" r:id="Rf75f787c67604c73"/>
    <x:sheet xmlns:r="http://schemas.openxmlformats.org/officeDocument/2006/relationships" name="03_BRIEF_FORMULARIO" sheetId="5" r:id="R41a91c4e8b7b49ef"/>
    <x:sheet xmlns:r="http://schemas.openxmlformats.org/officeDocument/2006/relationships" name="04_MAPA_ARGUMENTOS" sheetId="6" r:id="Ree6bf67f11a3495a"/>
    <x:sheet xmlns:r="http://schemas.openxmlformats.org/officeDocument/2006/relationships" name="05_EVIDENCIAS_FONTES" sheetId="7" r:id="R9eb48aa2bbe5488d"/>
    <x:sheet xmlns:r="http://schemas.openxmlformats.org/officeDocument/2006/relationships" name="06_PRODUCAO_TEXTO" sheetId="8" r:id="Rfb92e8d6c03947a3"/>
    <x:sheet xmlns:r="http://schemas.openxmlformats.org/officeDocument/2006/relationships" name="07_ATIVOS_DERIVADOS" sheetId="9" r:id="R57ada2cd69264c37"/>
    <x:sheet xmlns:r="http://schemas.openxmlformats.org/officeDocument/2006/relationships" name="08_INFOGRAFICOS_DRIVE" sheetId="10" r:id="Red8dafaeb95841ff"/>
    <x:sheet xmlns:r="http://schemas.openxmlformats.org/officeDocument/2006/relationships" name="09_YOUTUBE_LONGO" sheetId="11" r:id="R6e902aaf94574616"/>
    <x:sheet xmlns:r="http://schemas.openxmlformats.org/officeDocument/2006/relationships" name="10_SHORTS_REELS" sheetId="12" r:id="R03de5cea3a1b44e3"/>
    <x:sheet xmlns:r="http://schemas.openxmlformats.org/officeDocument/2006/relationships" name="11_SOCIAL_CROSSPLATFORM" sheetId="13" r:id="R1d641925e8da4c58"/>
    <x:sheet xmlns:r="http://schemas.openxmlformats.org/officeDocument/2006/relationships" name="12_NEWSLETTER" sheetId="14" r:id="R99d9485f10ee470b"/>
    <x:sheet xmlns:r="http://schemas.openxmlformats.org/officeDocument/2006/relationships" name="13_SEO_METADADOS" sheetId="15" r:id="R4f698a23c49d41d4"/>
    <x:sheet xmlns:r="http://schemas.openxmlformats.org/officeDocument/2006/relationships" name="14_CALENDARIO_PUBLICACAO" sheetId="16" r:id="Rb6ddf572a2784eba"/>
    <x:sheet xmlns:r="http://schemas.openxmlformats.org/officeDocument/2006/relationships" name="15_DISTRIBUICAO" sheetId="17" r:id="R3b3aa5acf32c47c4"/>
    <x:sheet xmlns:r="http://schemas.openxmlformats.org/officeDocument/2006/relationships" name="16_PERFORMANCE" sheetId="18" r:id="R9198bfef26d6405b"/>
    <x:sheet xmlns:r="http://schemas.openxmlformats.org/officeDocument/2006/relationships" name="17_BACKLOG_IDEIAS" sheetId="19" r:id="Rfadb7a07de394264"/>
    <x:sheet xmlns:r="http://schemas.openxmlformats.org/officeDocument/2006/relationships" name="18_TAXONOMIA" sheetId="20" r:id="R143e92e06f254ff7"/>
    <x:sheet xmlns:r="http://schemas.openxmlformats.org/officeDocument/2006/relationships" name="19_CONFIG_LISTAS" sheetId="21" r:id="R2ed64505814d4aa6"/>
    <x:sheet xmlns:r="http://schemas.openxmlformats.org/officeDocument/2006/relationships" name="20_LOG_DECISOES" sheetId="22" r:id="R9e69daac594945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%"/>
    <x:numFmt numFmtId="202" formatCode="0.0%"/>
  </x:numFmts>
  <x:fonts count="11">
    <x:font>
      <x:sz val="11"/>
      <x:name val="Carlito"/>
    </x:font>
    <x:font>
      <x:b/>
      <x:sz val="20"/>
      <x:color rgb="FF1D1D1F"/>
      <x:name val="Aptos Display"/>
    </x:font>
    <x:font>
      <x:sz val="10"/>
      <x:color rgb="FF6E6E73"/>
      <x:name val="Aptos"/>
    </x:font>
    <x:font>
      <x:b/>
      <x:sz val="9"/>
      <x:color rgb="FF6E6E73"/>
      <x:name val="Carlito"/>
    </x:font>
    <x:font>
      <x:sz val="9"/>
      <x:color rgb="FF1D1D1F"/>
      <x:name val="Carlito"/>
    </x:font>
    <x:font>
      <x:b/>
      <x:sz val="11"/>
      <x:color rgb="FF1D1D1F"/>
      <x:name val="Carlito"/>
    </x:font>
    <x:font>
      <x:b/>
      <x:sz val="9"/>
      <x:color rgb="FF1D1D1F"/>
      <x:name val="Aptos"/>
    </x:font>
    <x:font>
      <x:sz val="9"/>
      <x:color rgb="FF1D1D1F"/>
      <x:name val="Aptos"/>
    </x:font>
    <x:font>
      <x:b/>
      <x:sz val="22"/>
      <x:color rgb="FF1D1D1F"/>
      <x:name val="Aptos Display"/>
    </x:font>
    <x:font>
      <x:b/>
      <x:sz val="12"/>
      <x:color rgb="FF0071E3"/>
      <x:name val="Aptos Display"/>
    </x:font>
    <x:font>
      <x:b/>
      <x:sz val="10"/>
      <x:color rgb="FF1D1D1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5F5F7"/>
      </x:patternFill>
    </x:fill>
    <x:fill>
      <x:patternFill patternType="solid">
        <x:fgColor rgb="FFFAFAFC"/>
      </x:patternFill>
    </x:fill>
    <x:fill>
      <x:patternFill patternType="solid">
        <x:fgColor rgb="FFEAF3FF"/>
      </x:patternFill>
    </x:fill>
    <x:fill>
      <x:patternFill patternType="solid">
        <x:fgColor rgb="FFFFF3E0"/>
      </x:patternFill>
    </x:fill>
  </x:fills>
  <x:borders count="8">
    <x:border/>
    <x:border/>
    <x:border>
      <x:bottom style="thin">
        <x:color rgb="FFD2D2D7"/>
      </x:bottom>
    </x:border>
    <x:border>
      <x:bottom style="thin">
        <x:color rgb="FFD2D2D7"/>
      </x:bottom>
    </x:border>
    <x:border>
      <x:left style="medium">
        <x:color rgb="FF0071E3"/>
      </x:left>
    </x:border>
    <x:border>
      <x:left style="medium">
        <x:color rgb="FF0071E3"/>
      </x:left>
    </x:border>
    <x:border>
      <x:left style="medium">
        <x:color rgb="FFA05A00"/>
      </x:left>
    </x:border>
    <x:border>
      <x:left style="medium">
        <x:color rgb="FFA05A00"/>
      </x:left>
    </x:border>
  </x:borders>
  <x:cellStyleXfs count="1">
    <x:xf numFmtId="0" fontId="0" fillId="0" borderId="0"/>
  </x:cellStyleXfs>
  <x:cellXfs count="8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top" wrapText="1"/>
    </x:xf>
    <x:xf numFmtId="200" fontId="7" fillId="2" borderId="0" xfId="0" applyNumberFormat="1" applyFont="1" applyFill="1" applyBorder="1" applyAlignment="1">
      <x:alignment vertical="top" wrapText="1"/>
    </x:xf>
    <x:xf numFmtId="200" fontId="7" fillId="2" borderId="1" xfId="0" applyNumberFormat="1" applyFont="1" applyFill="1" applyBorder="1" applyAlignment="1">
      <x:alignment vertical="top" wrapText="1"/>
    </x:xf>
    <x:xf numFmtId="201" fontId="7" fillId="2" borderId="0" xfId="0" applyNumberFormat="1" applyFont="1" applyFill="1" applyBorder="1" applyAlignment="1">
      <x:alignment vertical="top" wrapText="1"/>
    </x:xf>
    <x:xf numFmtId="201" fontId="7" fillId="2" borderId="1" xfId="0" applyNumberFormat="1" applyFont="1" applyFill="1" applyBorder="1" applyAlignment="1">
      <x:alignment vertical="top" wrapText="1"/>
    </x:xf>
    <x:xf numFmtId="202" fontId="7" fillId="2" borderId="0" xfId="0" applyNumberFormat="1" applyFont="1" applyFill="1" applyBorder="1" applyAlignment="1">
      <x:alignment vertical="top" wrapText="1"/>
    </x:xf>
    <x:xf numFmtId="202" fontId="7" fillId="2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9" fillId="0" borderId="2" xfId="0" applyNumberFormat="1" applyFont="1" applyFill="1" applyBorder="1"/>
    <x:xf numFmtId="0" fontId="9" fillId="0" borderId="1" xfId="0" applyNumberFormat="1" applyFont="1" applyFill="1" applyBorder="1"/>
    <x:xf numFmtId="0" fontId="9" fillId="0" borderId="3" xfId="0" applyNumberFormat="1" applyFont="1" applyFill="1" applyBorder="1"/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4" xfId="0" applyNumberFormat="1" applyFont="1" applyFill="1" applyBorder="1"/>
    <x:xf numFmtId="0" fontId="10" fillId="5" borderId="4" xfId="0" applyNumberFormat="1" applyFont="1" applyFill="1" applyBorder="1" applyAlignment="1">
      <x:alignment wrapText="1"/>
    </x:xf>
    <x:xf numFmtId="0" fontId="1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10" fillId="5" borderId="1" xfId="0" applyNumberFormat="1" applyFont="1" applyFill="1" applyBorder="1"/>
    <x:xf numFmtId="0" fontId="10" fillId="5" borderId="5" xfId="0" applyNumberFormat="1" applyFont="1" applyFill="1" applyBorder="1"/>
    <x:xf numFmtId="0" fontId="10" fillId="5" borderId="5" xfId="0" applyNumberFormat="1" applyFont="1" applyFill="1" applyBorder="1" applyAlignment="1">
      <x:alignment wrapText="1"/>
    </x:xf>
    <x:xf numFmtId="0" fontId="10" fillId="5" borderId="1" xfId="0" applyNumberFormat="1" applyFont="1" applyFill="1" applyBorder="1" applyAlignment="1">
      <x:alignment wrapText="1"/>
    </x:xf>
    <x:xf numFmtId="0" fontId="5" fillId="5" borderId="0" xfId="0" applyNumberFormat="1" applyFont="1" applyFill="1" applyBorder="1"/>
    <x:xf numFmtId="0" fontId="5" fillId="5" borderId="4" xfId="0" applyNumberFormat="1" applyFont="1" applyFill="1" applyBorder="1"/>
    <x:xf numFmtId="0" fontId="5" fillId="5" borderId="4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/>
    <x:xf numFmtId="0" fontId="5" fillId="5" borderId="5" xfId="0" applyNumberFormat="1" applyFont="1" applyFill="1" applyBorder="1"/>
    <x:xf numFmtId="0" fontId="5" fillId="5" borderId="5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6" xfId="0" applyNumberFormat="1" applyFont="1" applyFill="1" applyBorder="1"/>
    <x:xf numFmtId="0" fontId="5" fillId="6" borderId="6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7" xfId="0" applyNumberFormat="1" applyFont="1" applyFill="1" applyBorder="1"/>
    <x:xf numFmtId="0" fontId="5" fillId="6" borderId="7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wrapText="1"/>
    </x:xf>
  </x:cellXfs>
  <x:cellStyles count="1">
    <x:cellStyle name="Normal" xfId="0"/>
  </x:cellStyles>
  <x:dxfs count="167"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color rgb="FFA05A00"/>
      </x:font>
      <x:fill>
        <x:patternFill patternType="solid">
          <x:bgColor rgb="FFFFF3E0"/>
        </x:patternFill>
      </x:fill>
    </x:dxf>
    <x:dxf>
      <x:font>
        <x:color rgb="FFA05A00"/>
      </x:font>
      <x:fill>
        <x:patternFill patternType="solid">
          <x:bgColor rgb="FFFFF3E0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248A3D"/>
      </x:font>
      <x:fill>
        <x:patternFill patternType="solid">
          <x:bgColor rgb="FFEAF7ED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0071E3"/>
      </x:font>
      <x:fill>
        <x:patternFill patternType="solid">
          <x:bgColor rgb="FFEAF3FF"/>
        </x:patternFill>
      </x:fill>
    </x:dxf>
    <x:dxf>
      <x:font>
        <x:b/>
        <x:color rgb="FF6E5AE6"/>
      </x:font>
      <x:fill>
        <x:patternFill patternType="solid">
          <x:bgColor rgb="FFF0EEFF"/>
        </x:patternFill>
      </x:fill>
    </x:dxf>
    <x:dxf>
      <x:font>
        <x:b/>
        <x:color rgb="FFA05A00"/>
      </x:font>
      <x:fill>
        <x:patternFill patternType="solid">
          <x:bgColor rgb="FFFFF3E0"/>
        </x:patternFill>
      </x:fill>
    </x:dxf>
    <x:dxf>
      <x:font>
        <x:b/>
        <x:color rgb="FFD70015"/>
      </x:font>
      <x:fill>
        <x:patternFill patternType="solid">
          <x:bgColor rgb="FFFDEBEC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  <x:dxf>
      <x:font>
        <x:b/>
        <x:color rgb="FF6E6E73"/>
      </x:font>
      <x:fill>
        <x:patternFill patternType="solid">
          <x:bgColor rgb="FFF5F5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802557df904fb4" /><Relationship Type="http://schemas.openxmlformats.org/officeDocument/2006/relationships/theme" Target="/xl/theme/theme1.xml" Id="R70d416b907264160" /><Relationship Type="http://schemas.openxmlformats.org/officeDocument/2006/relationships/sharedStrings" Target="/xl/sharedStrings.xml" Id="R9cfc65f25ada412a" /><Relationship Type="http://schemas.openxmlformats.org/officeDocument/2006/relationships/worksheet" Target="/xl/worksheets/sheet1.xml" Id="R2a107990f9fc4c83" /><Relationship Type="http://schemas.openxmlformats.org/officeDocument/2006/relationships/worksheet" Target="/xl/worksheets/sheet2.xml" Id="Rfa0948426149492a" /><Relationship Type="http://schemas.openxmlformats.org/officeDocument/2006/relationships/worksheet" Target="/xl/worksheets/sheet3.xml" Id="R2a1b25256d9440f6" /><Relationship Type="http://schemas.openxmlformats.org/officeDocument/2006/relationships/worksheet" Target="/xl/worksheets/sheet4.xml" Id="Rf75f787c67604c73" /><Relationship Type="http://schemas.openxmlformats.org/officeDocument/2006/relationships/worksheet" Target="/xl/worksheets/sheet5.xml" Id="R41a91c4e8b7b49ef" /><Relationship Type="http://schemas.openxmlformats.org/officeDocument/2006/relationships/worksheet" Target="/xl/worksheets/sheet6.xml" Id="Ree6bf67f11a3495a" /><Relationship Type="http://schemas.openxmlformats.org/officeDocument/2006/relationships/worksheet" Target="/xl/worksheets/sheet7.xml" Id="R9eb48aa2bbe5488d" /><Relationship Type="http://schemas.openxmlformats.org/officeDocument/2006/relationships/worksheet" Target="/xl/worksheets/sheet8.xml" Id="Rfb92e8d6c03947a3" /><Relationship Type="http://schemas.openxmlformats.org/officeDocument/2006/relationships/worksheet" Target="/xl/worksheets/sheet9.xml" Id="R57ada2cd69264c37" /><Relationship Type="http://schemas.openxmlformats.org/officeDocument/2006/relationships/worksheet" Target="/xl/worksheets/sheet10.xml" Id="Red8dafaeb95841ff" /><Relationship Type="http://schemas.openxmlformats.org/officeDocument/2006/relationships/worksheet" Target="/xl/worksheets/sheet11.xml" Id="R6e902aaf94574616" /><Relationship Type="http://schemas.openxmlformats.org/officeDocument/2006/relationships/worksheet" Target="/xl/worksheets/sheet12.xml" Id="R03de5cea3a1b44e3" /><Relationship Type="http://schemas.openxmlformats.org/officeDocument/2006/relationships/worksheet" Target="/xl/worksheets/sheet13.xml" Id="R1d641925e8da4c58" /><Relationship Type="http://schemas.openxmlformats.org/officeDocument/2006/relationships/worksheet" Target="/xl/worksheets/sheet14.xml" Id="R99d9485f10ee470b" /><Relationship Type="http://schemas.openxmlformats.org/officeDocument/2006/relationships/worksheet" Target="/xl/worksheets/sheet15.xml" Id="R4f698a23c49d41d4" /><Relationship Type="http://schemas.openxmlformats.org/officeDocument/2006/relationships/worksheet" Target="/xl/worksheets/sheet16.xml" Id="Rb6ddf572a2784eba" /><Relationship Type="http://schemas.openxmlformats.org/officeDocument/2006/relationships/worksheet" Target="/xl/worksheets/sheet17.xml" Id="R3b3aa5acf32c47c4" /><Relationship Type="http://schemas.openxmlformats.org/officeDocument/2006/relationships/worksheet" Target="/xl/worksheets/sheet18.xml" Id="R9198bfef26d6405b" /><Relationship Type="http://schemas.openxmlformats.org/officeDocument/2006/relationships/worksheet" Target="/xl/worksheets/sheet19.xml" Id="Rfadb7a07de394264" /><Relationship Type="http://schemas.openxmlformats.org/officeDocument/2006/relationships/worksheet" Target="/xl/worksheets/sheet20.xml" Id="R143e92e06f254ff7" /><Relationship Type="http://schemas.openxmlformats.org/officeDocument/2006/relationships/worksheet" Target="/xl/worksheets/sheet21.xml" Id="R2ed64505814d4aa6" /><Relationship Type="http://schemas.openxmlformats.org/officeDocument/2006/relationships/worksheet" Target="/xl/worksheets/sheet22.xml" Id="R9e69daac594945d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c43df4c1ad9425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Pipeline editorial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Qtd</c:v>
          </c:tx>
          <c:cat>
            <c:strRef>
              <c:f>'01_DASHBOARD'!$A$21:$A$26</c:f>
              <c:strCache>
                <c:ptCount val="0"/>
              </c:strCache>
            </c:strRef>
          </c:cat>
          <c:val>
            <c:numRef>
              <c:f>'01_DASHBOARD'!$B$21:$B$26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c43df4c1ad9425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1.xml" Id="R56e25f5c251740c6" /></Relationships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34" hidden="0" customWidth="1"/>
    <x:col min="4" max="4" width="28" hidden="0" customWidth="1"/>
    <x:col min="5" max="5" width="30" hidden="0" customWidth="1"/>
    <x:col min="6" max="6" width="28" hidden="0" customWidth="1"/>
    <x:col min="7" max="7" width="20" hidden="0" customWidth="1"/>
    <x:col min="8" max="8" width="34" hidden="0" customWidth="1"/>
  </x:cols>
  <x:sheetData>
    <x:row r="1">
      <x:c r="A1" s="4" t="str">
        <x:v>RISCO COGNITIVO · HUB EDITORIAL / CMS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Central única para planejar, pesquisar, escrever, desmembrar, publicar e medir conteúdo cross-platform.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64" t="str">
        <x:v>USO RÁPIDO · 1) cadastre conteúdo → 2) preencha brief → 3) monte argumentos → 4) vincule evidências → 5) escreva → 6) desmembre → 7) ligue Drive/visuais → 8) publique → 9) meça e recircule.</x:v>
      </x:c>
      <x:c r="B6" s="65"/>
      <x:c r="C6" s="65"/>
      <x:c r="D6" s="65"/>
      <x:c r="E6" s="65"/>
      <x:c r="F6" s="65"/>
      <x:c r="G6" s="65"/>
      <x:c r="H6" s="65"/>
    </x:row>
    <x:row r="7">
      <x:c r="A7" s="64"/>
      <x:c r="B7" s="65"/>
      <x:c r="C7" s="65"/>
      <x:c r="D7" s="65"/>
      <x:c r="E7" s="65"/>
      <x:c r="F7" s="65"/>
      <x:c r="G7" s="65"/>
      <x:c r="H7" s="65"/>
    </x:row>
    <x:row r="9">
      <x:c r="A9" s="23" t="str">
        <x:v>Aba</x:v>
      </x:c>
      <x:c r="B9" s="23" t="str">
        <x:v>Função</x:v>
      </x:c>
      <x:c r="C9" s="23" t="str">
        <x:v>Regra principal</x:v>
      </x:c>
      <x:c r="E9" s="70" t="str">
        <x:v>MODELO DE DADOS
Conteúdo → Argumentos → Evidências → Ativos → Visuais → Publicações → Performance
IDs: CNT · ARG · EVD · AST · VIS · PUB · IDE · DEC</x:v>
      </x:c>
      <x:c r="F9" s="70"/>
      <x:c r="G9" s="70"/>
      <x:c r="H9" s="70"/>
    </x:row>
    <x:row r="10">
      <x:c r="A10" s="30" t="str">
        <x:v>01_DASHBOARD</x:v>
      </x:c>
      <x:c r="B10" s="30" t="str">
        <x:v>Visão executiva</x:v>
      </x:c>
      <x:c r="C10" s="30" t="str">
        <x:v>Estado, bloqueios e próxima ação primeiro.</x:v>
      </x:c>
      <x:c r="E10" s="70"/>
      <x:c r="F10" s="70"/>
      <x:c r="G10" s="70"/>
      <x:c r="H10" s="70"/>
    </x:row>
    <x:row r="11">
      <x:c r="A11" s="30" t="str">
        <x:v>02_BANCO_CONTEUDO</x:v>
      </x:c>
      <x:c r="B11" s="30" t="str">
        <x:v>Fonte canônica</x:v>
      </x:c>
      <x:c r="C11" s="30" t="str">
        <x:v>Uma linha por conteúdo.</x:v>
      </x:c>
      <x:c r="E11" s="70"/>
      <x:c r="F11" s="70"/>
      <x:c r="G11" s="70"/>
      <x:c r="H11" s="70"/>
    </x:row>
    <x:row r="12">
      <x:c r="A12" s="30" t="str">
        <x:v>03_BRIEF_FORMULARIO</x:v>
      </x:c>
      <x:c r="B12" s="30" t="str">
        <x:v>Brief editorial</x:v>
      </x:c>
      <x:c r="C12" s="30" t="str">
        <x:v>Objetivo, audiência, tese, prova e CTA.</x:v>
      </x:c>
      <x:c r="E12" s="70"/>
      <x:c r="F12" s="70"/>
      <x:c r="G12" s="70"/>
      <x:c r="H12" s="70"/>
    </x:row>
    <x:row r="13">
      <x:c r="A13" s="30" t="str">
        <x:v>04_MAPA_ARGUMENTOS</x:v>
      </x:c>
      <x:c r="B13" s="30" t="str">
        <x:v>Arquitetura argumentativa</x:v>
      </x:c>
      <x:c r="C13" s="30" t="str">
        <x:v>Uma linha por argumento.</x:v>
      </x:c>
      <x:c r="E13" s="70"/>
      <x:c r="F13" s="70"/>
      <x:c r="G13" s="70"/>
      <x:c r="H13" s="70"/>
    </x:row>
    <x:row r="14">
      <x:c r="A14" s="30" t="str">
        <x:v>05_EVIDENCIAS_FONTES</x:v>
      </x:c>
      <x:c r="B14" s="30" t="str">
        <x:v>Fontes e prior art</x:v>
      </x:c>
      <x:c r="C14" s="30" t="str">
        <x:v>Fonte real + URL + classe epistêmica.</x:v>
      </x:c>
    </x:row>
    <x:row r="15">
      <x:c r="A15" s="30" t="str">
        <x:v>06_PRODUCAO_TEXTO</x:v>
      </x:c>
      <x:c r="B15" s="30" t="str">
        <x:v>Redação</x:v>
      </x:c>
      <x:c r="C15" s="30" t="str">
        <x:v>Texto + caracteres + palavras + leitura + cobertura de evidência.</x:v>
      </x:c>
      <x:c r="E15" s="75" t="str">
        <x:v>ESTADOS NÃO EQUIVALENTES
existente ≠ completo ≠ revisado ≠ aceito ≠ implementado ≠ testado ≠ verificado ≠ publicado</x:v>
      </x:c>
      <x:c r="F15" s="76"/>
      <x:c r="G15" s="76"/>
      <x:c r="H15" s="76"/>
    </x:row>
    <x:row r="16">
      <x:c r="A16" s="30" t="str">
        <x:v>07_ATIVOS_DERIVADOS</x:v>
      </x:c>
      <x:c r="B16" s="30" t="str">
        <x:v>Desmembramento</x:v>
      </x:c>
      <x:c r="C16" s="30" t="str">
        <x:v>1 conteúdo → N ativos.</x:v>
      </x:c>
      <x:c r="E16" s="75"/>
      <x:c r="F16" s="76"/>
      <x:c r="G16" s="76"/>
      <x:c r="H16" s="76"/>
    </x:row>
    <x:row r="17">
      <x:c r="A17" s="30" t="str">
        <x:v>08_INFOGRAFICOS_DRIVE</x:v>
      </x:c>
      <x:c r="B17" s="30" t="str">
        <x:v>Visuais e arquivos</x:v>
      </x:c>
      <x:c r="C17" s="30" t="str">
        <x:v>Link do Drive + função visual + status.</x:v>
      </x:c>
      <x:c r="E17" s="75"/>
      <x:c r="F17" s="76"/>
      <x:c r="G17" s="76"/>
      <x:c r="H17" s="76"/>
    </x:row>
    <x:row r="18">
      <x:c r="A18" s="30" t="str">
        <x:v>09_YOUTUBE_LONGO</x:v>
      </x:c>
      <x:c r="B18" s="30" t="str">
        <x:v>Vídeo narrado</x:v>
      </x:c>
      <x:c r="C18" s="30" t="str">
        <x:v>Roteiro + B-roll + duração.</x:v>
      </x:c>
      <x:c r="E18" s="75"/>
      <x:c r="F18" s="76"/>
      <x:c r="G18" s="76"/>
      <x:c r="H18" s="76"/>
    </x:row>
    <x:row r="19">
      <x:c r="A19" s="30" t="str">
        <x:v>10_SHORTS_REELS</x:v>
      </x:c>
      <x:c r="B19" s="30" t="str">
        <x:v>Vídeo curto</x:v>
      </x:c>
      <x:c r="C19" s="30" t="str">
        <x:v>Um Short = uma ideia.</x:v>
      </x:c>
      <x:c r="E19" s="75"/>
      <x:c r="F19" s="76"/>
      <x:c r="G19" s="76"/>
      <x:c r="H19" s="76"/>
    </x:row>
    <x:row r="20">
      <x:c r="A20" s="30" t="str">
        <x:v>11_SOCIAL_CROSSPLATFORM</x:v>
      </x:c>
      <x:c r="B20" s="30" t="str">
        <x:v>Social</x:v>
      </x:c>
      <x:c r="C20" s="30" t="str">
        <x:v>Adaptar, não copiar.</x:v>
      </x:c>
    </x:row>
    <x:row r="21">
      <x:c r="A21" s="30" t="str">
        <x:v>12_NEWSLETTER</x:v>
      </x:c>
      <x:c r="B21" s="30" t="str">
        <x:v>Relacionamento</x:v>
      </x:c>
      <x:c r="C21" s="30" t="str">
        <x:v>Síntese editorial, não repetição do artigo.</x:v>
      </x:c>
    </x:row>
    <x:row r="22">
      <x:c r="A22" s="30" t="str">
        <x:v>13_SEO_METADADOS</x:v>
      </x:c>
      <x:c r="B22" s="30" t="str">
        <x:v>SEO</x:v>
      </x:c>
      <x:c r="C22" s="30" t="str">
        <x:v>Slug, title, meta, links internos.</x:v>
      </x:c>
    </x:row>
    <x:row r="23">
      <x:c r="A23" s="30" t="str">
        <x:v>14_CALENDARIO_PUBLICACAO</x:v>
      </x:c>
      <x:c r="B23" s="30" t="str">
        <x:v>Agenda</x:v>
      </x:c>
      <x:c r="C23" s="30" t="str">
        <x:v>Prazo original ≠ previsão atual.</x:v>
      </x:c>
    </x:row>
    <x:row r="24">
      <x:c r="A24" s="30" t="str">
        <x:v>15_DISTRIBUICAO</x:v>
      </x:c>
      <x:c r="B24" s="30" t="str">
        <x:v>Distribuição</x:v>
      </x:c>
      <x:c r="C24" s="30" t="str">
        <x:v>Owned/Shared/Earned/Paid e recirculação.</x:v>
      </x:c>
    </x:row>
    <x:row r="25">
      <x:c r="A25" s="30" t="str">
        <x:v>16_PERFORMANCE</x:v>
      </x:c>
      <x:c r="B25" s="30" t="str">
        <x:v>Métricas</x:v>
      </x:c>
      <x:c r="C25" s="30" t="str">
        <x:v>Métrica → aprendizado → decisão.</x:v>
      </x:c>
    </x:row>
    <x:row r="26">
      <x:c r="A26" s="30" t="str">
        <x:v>17_BACKLOG_IDEIAS</x:v>
      </x:c>
      <x:c r="B26" s="30" t="str">
        <x:v>Ideias</x:v>
      </x:c>
      <x:c r="C26" s="30" t="str">
        <x:v>Ideia ≠ conteúdo aprovado.</x:v>
      </x:c>
    </x:row>
    <x:row r="27">
      <x:c r="A27" s="30" t="str">
        <x:v>18_TAXONOMIA</x:v>
      </x:c>
      <x:c r="B27" s="30" t="str">
        <x:v>Vocabulário</x:v>
      </x:c>
      <x:c r="C27" s="30" t="str">
        <x:v>Rotas e conceitos canônicos.</x:v>
      </x:c>
    </x:row>
    <x:row r="28">
      <x:c r="A28" s="30" t="str">
        <x:v>19_CONFIG_LISTAS</x:v>
      </x:c>
      <x:c r="B28" s="30" t="str">
        <x:v>Técnico</x:v>
      </x:c>
      <x:c r="C28" s="30" t="str">
        <x:v>Dropdowns controlados.</x:v>
      </x:c>
    </x:row>
    <x:row r="29">
      <x:c r="A29" s="30" t="str">
        <x:v>20_LOG_DECISOES</x:v>
      </x:c>
      <x:c r="B29" s="30" t="str">
        <x:v>Governança</x:v>
      </x:c>
      <x:c r="C29" s="30" t="str">
        <x:v>Preservar histórico de decisão.</x:v>
      </x:c>
    </x:row>
    <x:row r="30">
      <x:c r="A30" s="30"/>
      <x:c r="B30" s="30"/>
      <x:c r="C30" s="30"/>
    </x:row>
  </x:sheetData>
  <x:mergeCells>
    <x:mergeCell ref="A1:H2"/>
    <x:mergeCell ref="A3:H3"/>
    <x:mergeCell ref="A6:H7"/>
    <x:mergeCell ref="E9:H13"/>
    <x:mergeCell ref="E15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" hidden="0" customWidth="1"/>
    <x:col min="2" max="2" width="24" hidden="0" customWidth="1"/>
    <x:col min="3" max="3" width="3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8" hidden="0" customWidth="1"/>
  </x:cols>
  <x:sheetData>
    <x:row r="1">
      <x:c r="A1" s="4" t="str">
        <x:v>DESIGN SYSTEM · HUB EDITORIAL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Apple-inspired funcional: baixa densidade, hierarquia forte, branco, cinzas e azul de ação.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#</x:v>
      </x:c>
      <x:c r="B6" s="23" t="str">
        <x:v>Princípio</x:v>
      </x:c>
      <x:c r="C6" s="23" t="str">
        <x:v>Aplicação</x:v>
      </x:c>
      <x:c r="E6" s="23" t="str">
        <x:v>Token</x:v>
      </x:c>
      <x:c r="F6" s="23" t="str">
        <x:v>Hex</x:v>
      </x:c>
      <x:c r="G6" s="23" t="str">
        <x:v>Uso</x:v>
      </x:c>
    </x:row>
    <x:row r="7">
      <x:c r="A7" s="30" t="str">
        <x:v>01</x:v>
      </x:c>
      <x:c r="B7" s="30" t="str">
        <x:v>Uma tela, uma pergunta</x:v>
      </x:c>
      <x:c r="C7" s="30" t="str">
        <x:v>Cada aba tem uma função principal.</x:v>
      </x:c>
      <x:c r="E7" s="30" t="str">
        <x:v>Background</x:v>
      </x:c>
      <x:c r="F7" s="30" t="str">
        <x:v>#FFFFFF</x:v>
      </x:c>
      <x:c r="G7" s="30" t="str">
        <x:v>Fundo</x:v>
      </x:c>
    </x:row>
    <x:row r="8">
      <x:c r="A8" s="30" t="str">
        <x:v>02</x:v>
      </x:c>
      <x:c r="B8" s="30" t="str">
        <x:v>Estado antes de detalhe</x:v>
      </x:c>
      <x:c r="C8" s="30" t="str">
        <x:v>Feito, atual, bloqueio e próxima ação no topo.</x:v>
      </x:c>
      <x:c r="E8" s="30" t="str">
        <x:v>Surface</x:v>
      </x:c>
      <x:c r="F8" s="30" t="str">
        <x:v>#F5F5F7</x:v>
      </x:c>
      <x:c r="G8" s="30" t="str">
        <x:v>Cabeçalhos/cartões</x:v>
      </x:c>
    </x:row>
    <x:row r="9">
      <x:c r="A9" s="30" t="str">
        <x:v>03</x:v>
      </x:c>
      <x:c r="B9" s="30" t="str">
        <x:v>Branco é funcional</x:v>
      </x:c>
      <x:c r="C9" s="30" t="str">
        <x:v>Espaço em branco reduz interferência visual.</x:v>
      </x:c>
      <x:c r="E9" s="30" t="str">
        <x:v>Text</x:v>
      </x:c>
      <x:c r="F9" s="30" t="str">
        <x:v>#1D1D1F</x:v>
      </x:c>
      <x:c r="G9" s="30" t="str">
        <x:v>Texto principal</x:v>
      </x:c>
    </x:row>
    <x:row r="10">
      <x:c r="A10" s="30" t="str">
        <x:v>04</x:v>
      </x:c>
      <x:c r="B10" s="30" t="str">
        <x:v>Uma cor de ação</x:v>
      </x:c>
      <x:c r="C10" s="30" t="str">
        <x:v>Azul para foco, link e navegação.</x:v>
      </x:c>
      <x:c r="E10" s="30" t="str">
        <x:v>Muted</x:v>
      </x:c>
      <x:c r="F10" s="30" t="str">
        <x:v>#6E6E73</x:v>
      </x:c>
      <x:c r="G10" s="30" t="str">
        <x:v>Contexto secundário</x:v>
      </x:c>
    </x:row>
    <x:row r="11">
      <x:c r="A11" s="30" t="str">
        <x:v>05</x:v>
      </x:c>
      <x:c r="B11" s="30" t="str">
        <x:v>Texto + cor</x:v>
      </x:c>
      <x:c r="C11" s="30" t="str">
        <x:v>Status nunca depende só da cor.</x:v>
      </x:c>
      <x:c r="E11" s="30" t="str">
        <x:v>Action Blue</x:v>
      </x:c>
      <x:c r="F11" s="30" t="str">
        <x:v>#0071E3</x:v>
      </x:c>
      <x:c r="G11" s="30" t="str">
        <x:v>Ação/navegação</x:v>
      </x:c>
    </x:row>
    <x:row r="12">
      <x:c r="A12" s="30" t="str">
        <x:v>06</x:v>
      </x:c>
      <x:c r="B12" s="30" t="str">
        <x:v>Baixa densidade</x:v>
      </x:c>
      <x:c r="C12" s="30" t="str">
        <x:v>Dashboard não vira banco de dados.</x:v>
      </x:c>
      <x:c r="E12" s="30" t="str">
        <x:v>Success</x:v>
      </x:c>
      <x:c r="F12" s="30" t="str">
        <x:v>#248A3D</x:v>
      </x:c>
      <x:c r="G12" s="30" t="str">
        <x:v>Aceito/publicado</x:v>
      </x:c>
    </x:row>
    <x:row r="13">
      <x:c r="A13" s="30" t="str">
        <x:v>07</x:v>
      </x:c>
      <x:c r="B13" s="30" t="str">
        <x:v>Consistência</x:v>
      </x:c>
      <x:c r="C13" s="30" t="str">
        <x:v>Mesmas entidades, nomes e estados em todo o workbook.</x:v>
      </x:c>
      <x:c r="E13" s="30" t="str">
        <x:v>Warning</x:v>
      </x:c>
      <x:c r="F13" s="30" t="str">
        <x:v>#A05A00</x:v>
      </x:c>
      <x:c r="G13" s="30" t="str">
        <x:v>Atenção</x:v>
      </x:c>
    </x:row>
    <x:row r="14">
      <x:c r="E14" s="30" t="str">
        <x:v>Critical</x:v>
      </x:c>
      <x:c r="F14" s="30" t="str">
        <x:v>#D70015</x:v>
      </x:c>
      <x:c r="G14" s="30" t="str">
        <x:v>Bloqueio</x:v>
      </x:c>
    </x:row>
    <x:row r="15">
      <x:c r="E15" s="30" t="str">
        <x:v>Review</x:v>
      </x:c>
      <x:c r="F15" s="30" t="str">
        <x:v>#6E5AE6</x:v>
      </x:c>
      <x:c r="G15" s="30" t="str">
        <x:v>Revisão/pesquisa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22" hidden="0" customWidth="1"/>
    <x:col min="7" max="7" width="28" hidden="0" customWidth="1"/>
    <x:col min="8" max="8" width="36" hidden="0" customWidth="1"/>
    <x:col min="9" max="9" width="24" hidden="0" customWidth="1"/>
    <x:col min="10" max="10" width="24" hidden="0" customWidth="1"/>
  </x:cols>
  <x:sheetData>
    <x:row r="1">
      <x:c r="A1" s="4" t="str">
        <x:v>DASHBOARD · HUB EDITORIAL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O que está acontecendo agora, o que bloqueia e qual é a próxima ação.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40" t="str">
        <x:v>Conteúdos ativos</x:v>
      </x:c>
      <x:c r="B6" s="40" t="str">
        <x:v>Conteúdos ativos</x:v>
      </x:c>
      <x:c r="C6" s="40" t="str">
        <x:v>Em produção</x:v>
      </x:c>
      <x:c r="D6" s="40" t="str">
        <x:v>Em produção</x:v>
      </x:c>
      <x:c r="E6" s="40" t="str">
        <x:v>Bloqueados</x:v>
      </x:c>
      <x:c r="F6" s="40" t="str">
        <x:v>Bloqueados</x:v>
      </x:c>
      <x:c r="G6" s="40" t="str">
        <x:v>Prontos / aceitos</x:v>
      </x:c>
      <x:c r="H6" s="40" t="str">
        <x:v>Prontos / aceitos</x:v>
      </x:c>
      <x:c r="I6" s="40" t="str">
        <x:v>Publicados</x:v>
      </x:c>
      <x:c r="J6" s="40" t="str">
        <x:v>Publicados</x:v>
      </x:c>
    </x:row>
    <x:row r="7">
      <x:c r="A7" s="44" t="n">
        <x:f>COUNTA('02_BANCO_CONTEUDO'!$A$7:$A$60)</x:f>
        <x:v>3</x:v>
      </x:c>
      <x:c r="B7" s="44"/>
      <x:c r="C7" s="44" t="n">
        <x:f>COUNTIF('02_BANCO_CONTEUDO'!$M$7:$M$60,"ARGUMENTAÇÃO")+COUNTIF('02_BANCO_CONTEUDO'!$M$7:$M$60,"PESQUISA")+COUNTIF('02_BANCO_CONTEUDO'!$M$7:$M$60,"EM PRODUÇÃO")</x:f>
        <x:v>3</x:v>
      </x:c>
      <x:c r="D7" s="44"/>
      <x:c r="E7" s="44" t="n">
        <x:f>COUNTIF('02_BANCO_CONTEUDO'!$M$7:$M$60,"BLOQUEADO")</x:f>
        <x:v>0</x:v>
      </x:c>
      <x:c r="F7" s="44"/>
      <x:c r="G7" s="44" t="n">
        <x:f>COUNTIF('02_BANCO_CONTEUDO'!$M$7:$M$60,"ACEITO")+COUNTIF('02_BANCO_CONTEUDO'!$M$7:$M$60,"PRONTO")</x:f>
        <x:v>0</x:v>
      </x:c>
      <x:c r="H7" s="44"/>
      <x:c r="I7" s="44" t="n">
        <x:f>COUNTIF('02_BANCO_CONTEUDO'!$M$7:$M$60,"PUBLICADO")</x:f>
        <x:v>0</x:v>
      </x:c>
      <x:c r="J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</x:row>
    <x:row r="10">
      <x:c r="A10" s="49" t="str">
        <x:v>AGORA · CONTEÚDOS PRIORITÁRIOS</x:v>
      </x:c>
      <x:c r="B10" s="49"/>
      <x:c r="C10" s="49"/>
      <x:c r="D10" s="49"/>
      <x:c r="E10" s="49"/>
      <x:c r="F10" s="49"/>
      <x:c r="G10" s="49"/>
      <x:c r="H10" s="49"/>
      <x:c r="I10" s="49"/>
      <x:c r="J10" s="49"/>
    </x:row>
    <x:row r="11">
      <x:c r="A11" s="23" t="str">
        <x:v>Content_ID</x:v>
      </x:c>
      <x:c r="B11" s="23" t="str">
        <x:v>Título</x:v>
      </x:c>
      <x:c r="C11" s="23" t="str">
        <x:v>Rota</x:v>
      </x:c>
      <x:c r="D11" s="23" t="str">
        <x:v>Prioridade</x:v>
      </x:c>
      <x:c r="E11" s="23" t="str">
        <x:v>Status</x:v>
      </x:c>
      <x:c r="F11" s="23" t="str">
        <x:v>Próxima ação</x:v>
      </x:c>
      <x:c r="G11" s="23" t="str">
        <x:v>Bloqueio</x:v>
      </x:c>
      <x:c r="H11" s="23" t="str">
        <x:v>Argumentos</x:v>
      </x:c>
      <x:c r="I11" s="23" t="str">
        <x:v>Evidências</x:v>
      </x:c>
      <x:c r="J11" s="23" t="str">
        <x:v>Ativos</x:v>
      </x:c>
    </x:row>
    <x:row r="12">
      <x:c r="A12" s="30" t="str">
        <x:v>CNT-RC-0001</x:v>
      </x:c>
      <x:c r="B12" s="30" t="str">
        <x:v>O que é Risco Cognitivo?</x:v>
      </x:c>
      <x:c r="C12" s="30" t="str">
        <x:v>Risco Cognitivo</x:v>
      </x:c>
      <x:c r="D12" s="30" t="str">
        <x:v>CRÍTICA</x:v>
      </x:c>
      <x:c r="E12" s="30" t="str">
        <x:v>ARGUMENTAÇÃO</x:v>
      </x:c>
      <x:c r="F12" s="30" t="str">
        <x:v>Validar definição operacional e claims centrais</x:v>
      </x:c>
      <x:c r="G12" s="30" t="str"/>
      <x:c r="H12" s="30" t="n">
        <x:v>3</x:v>
      </x:c>
      <x:c r="I12" s="30" t="n">
        <x:v>3</x:v>
      </x:c>
      <x:c r="J12" s="30" t="n">
        <x:v>3</x:v>
      </x:c>
    </x:row>
    <x:row r="13">
      <x:c r="A13" s="30" t="str">
        <x:v>CNT-RC-0002</x:v>
      </x:c>
      <x:c r="B13" s="30" t="str">
        <x:v>Fatores de Risco Cognitivo</x:v>
      </x:c>
      <x:c r="C13" s="30" t="str">
        <x:v>Fatores de Risco Cognitivo</x:v>
      </x:c>
      <x:c r="D13" s="30" t="str">
        <x:v>ALTA</x:v>
      </x:c>
      <x:c r="E13" s="30" t="str">
        <x:v>ARGUMENTAÇÃO</x:v>
      </x:c>
      <x:c r="F13" s="30" t="str">
        <x:v>Classificar fatores e ligar classes a evidências</x:v>
      </x:c>
      <x:c r="G13" s="30" t="str"/>
      <x:c r="H13" s="30" t="n">
        <x:v>2</x:v>
      </x:c>
      <x:c r="I13" s="30" t="n">
        <x:v>2</x:v>
      </x:c>
      <x:c r="J13" s="30" t="n">
        <x:v>2</x:v>
      </x:c>
    </x:row>
    <x:row r="14">
      <x:c r="A14" s="30" t="str">
        <x:v>CNT-RC-0003</x:v>
      </x:c>
      <x:c r="B14" s="30" t="str">
        <x:v>Exposição Cognitiva</x:v>
      </x:c>
      <x:c r="C14" s="30" t="str">
        <x:v>Exposição Cognitiva</x:v>
      </x:c>
      <x:c r="D14" s="30" t="str">
        <x:v>ALTA</x:v>
      </x:c>
      <x:c r="E14" s="30" t="str">
        <x:v>ARGUMENTAÇÃO</x:v>
      </x:c>
      <x:c r="F14" s="30" t="str">
        <x:v>Validar definição de exposição e heurística</x:v>
      </x:c>
      <x:c r="G14" s="30" t="str"/>
      <x:c r="H14" s="30" t="n">
        <x:v>2</x:v>
      </x:c>
      <x:c r="I14" s="30" t="n">
        <x:v>0</x:v>
      </x:c>
      <x:c r="J14" s="30" t="n">
        <x:v>1</x:v>
      </x:c>
    </x:row>
    <x:row r="16">
      <x:c r="A16" s="55" t="str">
        <x:v>PRÓXIMA AÇÃO · Fechar o mapa argumentativo do Artigo 1 e vincular evidências científicas aos claims centrais antes da redação final.</x:v>
      </x:c>
      <x:c r="B16" s="56"/>
      <x:c r="C16" s="56"/>
      <x:c r="D16" s="56"/>
      <x:c r="E16" s="56"/>
      <x:c r="F16" s="56"/>
      <x:c r="G16" s="56"/>
      <x:c r="H16" s="56"/>
      <x:c r="I16" s="56"/>
      <x:c r="J16" s="56"/>
    </x:row>
    <x:row r="17">
      <x:c r="A17" s="55"/>
      <x:c r="B17" s="56"/>
      <x:c r="C17" s="56"/>
      <x:c r="D17" s="56"/>
      <x:c r="E17" s="56"/>
      <x:c r="F17" s="56"/>
      <x:c r="G17" s="56"/>
      <x:c r="H17" s="56"/>
      <x:c r="I17" s="56"/>
      <x:c r="J17" s="56"/>
    </x:row>
    <x:row r="20">
      <x:c r="A20" s="23" t="str">
        <x:v>Status</x:v>
      </x:c>
      <x:c r="B20" s="23" t="str">
        <x:v>Qtd</x:v>
      </x:c>
    </x:row>
    <x:row r="21">
      <x:c r="A21" s="30" t="str">
        <x:v>PESQUISA</x:v>
      </x:c>
      <x:c r="B21" s="30" t="n">
        <x:f>COUNTIF('02_BANCO_CONTEUDO'!$M$7:$M$60,A21)</x:f>
        <x:v>0</x:v>
      </x:c>
    </x:row>
    <x:row r="22">
      <x:c r="A22" s="30" t="str">
        <x:v>ARGUMENTAÇÃO</x:v>
      </x:c>
      <x:c r="B22" s="30" t="n">
        <x:f>COUNTIF('02_BANCO_CONTEUDO'!$M$7:$M$60,A22)</x:f>
        <x:v>3</x:v>
      </x:c>
    </x:row>
    <x:row r="23">
      <x:c r="A23" s="30" t="str">
        <x:v>RASCUNHO</x:v>
      </x:c>
      <x:c r="B23" s="30" t="n">
        <x:f>COUNTIF('02_BANCO_CONTEUDO'!$M$7:$M$60,A23)</x:f>
        <x:v>0</x:v>
      </x:c>
    </x:row>
    <x:row r="24">
      <x:c r="A24" s="30" t="str">
        <x:v>EM REVISÃO</x:v>
      </x:c>
      <x:c r="B24" s="30" t="n">
        <x:f>COUNTIF('02_BANCO_CONTEUDO'!$M$7:$M$60,A24)</x:f>
        <x:v>0</x:v>
      </x:c>
    </x:row>
    <x:row r="25">
      <x:c r="A25" s="30" t="str">
        <x:v>ACEITO</x:v>
      </x:c>
      <x:c r="B25" s="30" t="n">
        <x:f>COUNTIF('02_BANCO_CONTEUDO'!$M$7:$M$60,A25)</x:f>
        <x:v>0</x:v>
      </x:c>
    </x:row>
    <x:row r="26">
      <x:c r="A26" s="30" t="str">
        <x:v>PUBLICADO</x:v>
      </x:c>
      <x:c r="B26" s="30" t="n">
        <x:f>COUNTIF('02_BANCO_CONTEUDO'!$M$7:$M$60,A26)</x:f>
        <x:v>0</x:v>
      </x:c>
    </x:row>
  </x:sheetData>
  <x:mergeCells>
    <x:mergeCell ref="A1:H2"/>
    <x:mergeCell ref="A3:H3"/>
    <x:mergeCell ref="A6:B6"/>
    <x:mergeCell ref="C6:D6"/>
    <x:mergeCell ref="E6:F6"/>
    <x:mergeCell ref="G6:H6"/>
    <x:mergeCell ref="I6:J6"/>
    <x:mergeCell ref="A7:B8"/>
    <x:mergeCell ref="C7:D8"/>
    <x:mergeCell ref="E7:F8"/>
    <x:mergeCell ref="G7:H8"/>
    <x:mergeCell ref="I7:J8"/>
    <x:mergeCell ref="A10:J10"/>
    <x:mergeCell ref="A16:J17"/>
  </x:mergeCells>
  <x:conditionalFormatting sqref="E12:E14">
    <x:cfRule type="expression" dxfId="156" priority="1">
      <x:formula>E12="ACEITO"</x:formula>
    </x:cfRule>
    <x:cfRule type="expression" dxfId="157" priority="2">
      <x:formula>E12="PUBLICADO"</x:formula>
    </x:cfRule>
    <x:cfRule type="expression" dxfId="158" priority="3">
      <x:formula>E12="EM PRODUÇÃO"</x:formula>
    </x:cfRule>
    <x:cfRule type="expression" dxfId="159" priority="4">
      <x:formula>E12="ARGUMENTAÇÃO"</x:formula>
    </x:cfRule>
    <x:cfRule type="expression" dxfId="160" priority="5">
      <x:formula>E12="PESQUISA"</x:formula>
    </x:cfRule>
    <x:cfRule type="expression" dxfId="161" priority="6">
      <x:formula>E12="EM REVISÃO"</x:formula>
    </x:cfRule>
    <x:cfRule type="expression" dxfId="162" priority="7">
      <x:formula>E12="EM RISCO"</x:formula>
    </x:cfRule>
    <x:cfRule type="expression" dxfId="163" priority="8">
      <x:formula>E12="BLOQUEADO"</x:formula>
    </x:cfRule>
    <x:cfRule type="expression" dxfId="164" priority="9">
      <x:formula>E12="RASCUNHO"</x:formula>
    </x:cfRule>
    <x:cfRule type="expression" dxfId="165" priority="10">
      <x:formula>E12="PLANEJADO"</x:formula>
    </x:cfRule>
    <x:cfRule type="expression" dxfId="166" priority="11">
      <x:formula>E12="TRIAGEM"</x:formula>
    </x:cfRule>
  </x:conditionalFormatting>
  <x:pageMargins left="0.7" right="0.7" top="0.75" bottom="0.75" header="0.3" footer="0.3"/>
  <x:drawing xmlns:r="http://schemas.openxmlformats.org/officeDocument/2006/relationships" r:id="R56e25f5c251740c6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18" hidden="0" customWidth="1"/>
    <x:col min="5" max="5" width="28" hidden="0" customWidth="1"/>
    <x:col min="6" max="6" width="18" hidden="0" customWidth="1"/>
    <x:col min="7" max="7" width="28" hidden="0" customWidth="1"/>
    <x:col min="8" max="8" width="24" hidden="0" customWidth="1"/>
    <x:col min="9" max="9" width="34" hidden="0" customWidth="1"/>
    <x:col min="10" max="10" width="50" hidden="0" customWidth="1"/>
    <x:col min="11" max="11" width="24" hidden="0" customWidth="1"/>
    <x:col min="12" max="12" width="14" hidden="0" customWidth="1"/>
    <x:col min="13" max="13" width="18" hidden="0" customWidth="1"/>
    <x:col min="14" max="14" width="20" hidden="0" customWidth="1"/>
    <x:col min="15" max="15" width="14" hidden="0" customWidth="1"/>
    <x:col min="16" max="16" width="14" hidden="0" customWidth="1"/>
    <x:col min="17" max="17" width="34" hidden="0" customWidth="1"/>
    <x:col min="18" max="18" width="28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</x:cols>
  <x:sheetData>
    <x:row r="1">
      <x:c r="A1" s="4" t="str">
        <x:v>BANCO DE CONTEÚDO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Fonte canônica do CMS. Uma linha por conteúdo aprovado ou em produção.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Content_ID</x:v>
      </x:c>
      <x:c r="B6" s="23" t="str">
        <x:v>Título de trabalho</x:v>
      </x:c>
      <x:c r="C6" s="23" t="str">
        <x:v>Título final</x:v>
      </x:c>
      <x:c r="D6" s="23" t="str">
        <x:v>Tipo</x:v>
      </x:c>
      <x:c r="E6" s="23" t="str">
        <x:v>Rota editorial</x:v>
      </x:c>
      <x:c r="F6" s="23" t="str">
        <x:v>Pilar</x:v>
      </x:c>
      <x:c r="G6" s="23" t="str">
        <x:v>Objetivo</x:v>
      </x:c>
      <x:c r="H6" s="23" t="str">
        <x:v>Audiência</x:v>
      </x:c>
      <x:c r="I6" s="23" t="str">
        <x:v>Pergunta central</x:v>
      </x:c>
      <x:c r="J6" s="23" t="str">
        <x:v>Tese</x:v>
      </x:c>
      <x:c r="K6" s="23" t="str">
        <x:v>CTA</x:v>
      </x:c>
      <x:c r="L6" s="23" t="str">
        <x:v>Prioridade</x:v>
      </x:c>
      <x:c r="M6" s="23" t="str">
        <x:v>Status editorial</x:v>
      </x:c>
      <x:c r="N6" s="23" t="str">
        <x:v>Owner</x:v>
      </x:c>
      <x:c r="O6" s="23" t="str">
        <x:v>Prazo original</x:v>
      </x:c>
      <x:c r="P6" s="23" t="str">
        <x:v>Previsão atual</x:v>
      </x:c>
      <x:c r="Q6" s="23" t="str">
        <x:v>Próxima ação</x:v>
      </x:c>
      <x:c r="R6" s="23" t="str">
        <x:v>Bloqueio</x:v>
      </x:c>
      <x:c r="S6" s="23" t="str">
        <x:v># Argumentos</x:v>
      </x:c>
      <x:c r="T6" s="23" t="str">
        <x:v># Evidências</x:v>
      </x:c>
      <x:c r="U6" s="23" t="str">
        <x:v># Ativos</x:v>
      </x:c>
      <x:c r="V6" s="23" t="str">
        <x:v># Publicações</x:v>
      </x:c>
    </x:row>
    <x:row r="7">
      <x:c r="A7" s="30" t="str">
        <x:v>CNT-RC-0001</x:v>
      </x:c>
      <x:c r="B7" s="30" t="str">
        <x:v>O que é Risco Cognitivo?</x:v>
      </x:c>
      <x:c r="C7" s="30" t="str"/>
      <x:c r="D7" s="30" t="str">
        <x:v>Artigo fundador</x:v>
      </x:c>
      <x:c r="E7" s="30" t="str">
        <x:v>Risco Cognitivo</x:v>
      </x:c>
      <x:c r="F7" s="30" t="str">
        <x:v>Fenômeno</x:v>
      </x:c>
      <x:c r="G7" s="30" t="str">
        <x:v>Definir a categoria e fronteiras conceituais</x:v>
      </x:c>
      <x:c r="H7" s="30" t="str">
        <x:v>Profissionais interessados em cognição, decisão e trabalho</x:v>
      </x:c>
      <x:c r="I7" s="30" t="str">
        <x:v>O que estamos chamando de risco cognitivo?</x:v>
      </x:c>
      <x:c r="J7" s="30" t="str">
        <x:v>Cognição pode participar da formação do risco quando processos cognitivos afetam decisões e ações relevantes.</x:v>
      </x:c>
      <x:c r="K7" s="30" t="str">
        <x:v>Continuar para Fatores de Risco Cognitivo</x:v>
      </x:c>
      <x:c r="L7" s="30" t="str">
        <x:v>CRÍTICA</x:v>
      </x:c>
      <x:c r="M7" s="30" t="str">
        <x:v>ARGUMENTAÇÃO</x:v>
      </x:c>
      <x:c r="N7" s="30" t="str">
        <x:v>Não determinado</x:v>
      </x:c>
      <x:c r="O7" s="34"/>
      <x:c r="P7" s="34"/>
      <x:c r="Q7" s="30" t="str">
        <x:v>Validar definição operacional e claims centrais</x:v>
      </x:c>
      <x:c r="R7" s="30" t="str"/>
      <x:c r="S7" s="30" t="n">
        <x:f>IF(A7="","",COUNTIF('04_MAPA_ARGUMENTOS'!$B$7:$B$80,A7))</x:f>
        <x:v>3</x:v>
      </x:c>
      <x:c r="T7" s="30" t="n">
        <x:f>IF(A7="","",COUNTIF('05_EVIDENCIAS_FONTES'!$B$7:$B$80,A7))</x:f>
        <x:v>3</x:v>
      </x:c>
      <x:c r="U7" s="30" t="n">
        <x:f>IF(A7="","",COUNTIF('07_ATIVOS_DERIVADOS'!$B$7:$B$80,A7))</x:f>
        <x:v>3</x:v>
      </x:c>
      <x:c r="V7" s="30" t="n">
        <x:f>IF(A7="","",COUNTIF('14_CALENDARIO_PUBLICACAO'!$B$7:$B$80,A7))</x:f>
        <x:v>0</x:v>
      </x:c>
    </x:row>
    <x:row r="8">
      <x:c r="A8" s="30" t="str">
        <x:v>CNT-RC-0002</x:v>
      </x:c>
      <x:c r="B8" s="30" t="str">
        <x:v>Fatores de Risco Cognitivo: o que aumenta a probabilidade de falha?</x:v>
      </x:c>
      <x:c r="C8" s="30" t="str"/>
      <x:c r="D8" s="30" t="str">
        <x:v>Artigo fundador</x:v>
      </x:c>
      <x:c r="E8" s="30" t="str">
        <x:v>Fatores de Risco Cognitivo</x:v>
      </x:c>
      <x:c r="F8" s="30" t="str">
        <x:v>Causas</x:v>
      </x:c>
      <x:c r="G8" s="30" t="str">
        <x:v>Explicar causas e antecedentes sem determinismo</x:v>
      </x:c>
      <x:c r="H8" s="30" t="str">
        <x:v>Profissionais interessados em gestão, trabalho e decisão</x:v>
      </x:c>
      <x:c r="I8" s="30" t="str">
        <x:v>Que condições tornam o risco mais provável?</x:v>
      </x:c>
      <x:c r="J8" s="30" t="str">
        <x:v>Fatores individuais, de estado, ambientais, organizacionais e tecnológicos podem aumentar a probabilidade de eventos.</x:v>
      </x:c>
      <x:c r="K8" s="30" t="str">
        <x:v>Continuar para Exposição Cognitiva</x:v>
      </x:c>
      <x:c r="L8" s="30" t="str">
        <x:v>ALTA</x:v>
      </x:c>
      <x:c r="M8" s="30" t="str">
        <x:v>ARGUMENTAÇÃO</x:v>
      </x:c>
      <x:c r="N8" s="30" t="str">
        <x:v>Não determinado</x:v>
      </x:c>
      <x:c r="O8" s="34"/>
      <x:c r="P8" s="34"/>
      <x:c r="Q8" s="30" t="str">
        <x:v>Classificar fatores e ligar classes a evidências</x:v>
      </x:c>
      <x:c r="R8" s="30" t="str"/>
      <x:c r="S8" s="30" t="n">
        <x:f>IF(A8="","",COUNTIF('04_MAPA_ARGUMENTOS'!$B$7:$B$80,A8))</x:f>
        <x:v>2</x:v>
      </x:c>
      <x:c r="T8" s="30" t="n">
        <x:f>IF(A8="","",COUNTIF('05_EVIDENCIAS_FONTES'!$B$7:$B$80,A8))</x:f>
        <x:v>2</x:v>
      </x:c>
      <x:c r="U8" s="30" t="n">
        <x:f>IF(A8="","",COUNTIF('07_ATIVOS_DERIVADOS'!$B$7:$B$80,A8))</x:f>
        <x:v>2</x:v>
      </x:c>
      <x:c r="V8" s="30" t="n">
        <x:f>IF(A8="","",COUNTIF('14_CALENDARIO_PUBLICACAO'!$B$7:$B$80,A8))</x:f>
        <x:v>0</x:v>
      </x:c>
    </x:row>
    <x:row r="9">
      <x:c r="A9" s="30" t="str">
        <x:v>CNT-RC-0003</x:v>
      </x:c>
      <x:c r="B9" s="30" t="str">
        <x:v>Exposição Cognitiva: quando um fator de risco passa a importar?</x:v>
      </x:c>
      <x:c r="C9" s="30" t="str"/>
      <x:c r="D9" s="30" t="str">
        <x:v>Artigo fundador</x:v>
      </x:c>
      <x:c r="E9" s="30" t="str">
        <x:v>Exposição Cognitiva</x:v>
      </x:c>
      <x:c r="F9" s="30" t="str">
        <x:v>Condição</x:v>
      </x:c>
      <x:c r="G9" s="30" t="str">
        <x:v>Explicar quando presença de fator se torna exposição relevante</x:v>
      </x:c>
      <x:c r="H9" s="30" t="str">
        <x:v>Profissionais interessados em risco e desenho do trabalho</x:v>
      </x:c>
      <x:c r="I9" s="30" t="str">
        <x:v>Quando um fator se transforma em exposição relevante?</x:v>
      </x:c>
      <x:c r="J9" s="30" t="str">
        <x:v>Risco depende do fator e de intensidade, frequência, duração, criticidade e contexto.</x:v>
      </x:c>
      <x:c r="K9" s="30" t="str">
        <x:v>Continuar para Eventos de Risco Cognitivo</x:v>
      </x:c>
      <x:c r="L9" s="30" t="str">
        <x:v>ALTA</x:v>
      </x:c>
      <x:c r="M9" s="30" t="str">
        <x:v>ARGUMENTAÇÃO</x:v>
      </x:c>
      <x:c r="N9" s="30" t="str">
        <x:v>Não determinado</x:v>
      </x:c>
      <x:c r="O9" s="34"/>
      <x:c r="P9" s="34"/>
      <x:c r="Q9" s="30" t="str">
        <x:v>Validar definição de exposição e heurística</x:v>
      </x:c>
      <x:c r="R9" s="30" t="str"/>
      <x:c r="S9" s="30" t="n">
        <x:f>IF(A9="","",COUNTIF('04_MAPA_ARGUMENTOS'!$B$7:$B$80,A9))</x:f>
        <x:v>2</x:v>
      </x:c>
      <x:c r="T9" s="30" t="n">
        <x:f>IF(A9="","",COUNTIF('05_EVIDENCIAS_FONTES'!$B$7:$B$80,A9))</x:f>
        <x:v>0</x:v>
      </x:c>
      <x:c r="U9" s="30" t="n">
        <x:f>IF(A9="","",COUNTIF('07_ATIVOS_DERIVADOS'!$B$7:$B$80,A9))</x:f>
        <x:v>1</x:v>
      </x:c>
      <x:c r="V9" s="30" t="n">
        <x:f>IF(A9="","",COUNTIF('14_CALENDARIO_PUBLICACAO'!$B$7:$B$80,A9))</x:f>
        <x:v>0</x:v>
      </x:c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4"/>
      <x:c r="P10" s="34"/>
      <x:c r="Q10" s="30"/>
      <x:c r="R10" s="30"/>
      <x:c r="S10" s="30" t="str">
        <x:f>IF(A10="","",COUNTIF('04_MAPA_ARGUMENTOS'!$B$7:$B$80,A10))</x:f>
      </x:c>
      <x:c r="T10" s="30" t="str">
        <x:f>IF(A10="","",COUNTIF('05_EVIDENCIAS_FONTES'!$B$7:$B$80,A10))</x:f>
      </x:c>
      <x:c r="U10" s="30" t="str">
        <x:f>IF(A10="","",COUNTIF('07_ATIVOS_DERIVADOS'!$B$7:$B$80,A10))</x:f>
      </x:c>
      <x:c r="V10" s="30" t="str">
        <x:f>IF(A10="","",COUNTIF('14_CALENDARIO_PUBLICACAO'!$B$7:$B$80,A10))</x:f>
      </x:c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4"/>
      <x:c r="P11" s="34"/>
      <x:c r="Q11" s="30"/>
      <x:c r="R11" s="30"/>
      <x:c r="S11" s="30" t="str">
        <x:f>IF(A11="","",COUNTIF('04_MAPA_ARGUMENTOS'!$B$7:$B$80,A11))</x:f>
      </x:c>
      <x:c r="T11" s="30" t="str">
        <x:f>IF(A11="","",COUNTIF('05_EVIDENCIAS_FONTES'!$B$7:$B$80,A11))</x:f>
      </x:c>
      <x:c r="U11" s="30" t="str">
        <x:f>IF(A11="","",COUNTIF('07_ATIVOS_DERIVADOS'!$B$7:$B$80,A11))</x:f>
      </x:c>
      <x:c r="V11" s="30" t="str">
        <x:f>IF(A11="","",COUNTIF('14_CALENDARIO_PUBLICACAO'!$B$7:$B$80,A11))</x:f>
      </x:c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4"/>
      <x:c r="P12" s="34"/>
      <x:c r="Q12" s="30"/>
      <x:c r="R12" s="30"/>
      <x:c r="S12" s="30" t="str">
        <x:f>IF(A12="","",COUNTIF('04_MAPA_ARGUMENTOS'!$B$7:$B$80,A12))</x:f>
      </x:c>
      <x:c r="T12" s="30" t="str">
        <x:f>IF(A12="","",COUNTIF('05_EVIDENCIAS_FONTES'!$B$7:$B$80,A12))</x:f>
      </x:c>
      <x:c r="U12" s="30" t="str">
        <x:f>IF(A12="","",COUNTIF('07_ATIVOS_DERIVADOS'!$B$7:$B$80,A12))</x:f>
      </x:c>
      <x:c r="V12" s="30" t="str">
        <x:f>IF(A12="","",COUNTIF('14_CALENDARIO_PUBLICACAO'!$B$7:$B$80,A12))</x:f>
      </x:c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4"/>
      <x:c r="P13" s="34"/>
      <x:c r="Q13" s="30"/>
      <x:c r="R13" s="30"/>
      <x:c r="S13" s="30" t="str">
        <x:f>IF(A13="","",COUNTIF('04_MAPA_ARGUMENTOS'!$B$7:$B$80,A13))</x:f>
      </x:c>
      <x:c r="T13" s="30" t="str">
        <x:f>IF(A13="","",COUNTIF('05_EVIDENCIAS_FONTES'!$B$7:$B$80,A13))</x:f>
      </x:c>
      <x:c r="U13" s="30" t="str">
        <x:f>IF(A13="","",COUNTIF('07_ATIVOS_DERIVADOS'!$B$7:$B$80,A13))</x:f>
      </x:c>
      <x:c r="V13" s="30" t="str">
        <x:f>IF(A13="","",COUNTIF('14_CALENDARIO_PUBLICACAO'!$B$7:$B$80,A13))</x:f>
      </x:c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4"/>
      <x:c r="P14" s="34"/>
      <x:c r="Q14" s="30"/>
      <x:c r="R14" s="30"/>
      <x:c r="S14" s="30" t="str">
        <x:f>IF(A14="","",COUNTIF('04_MAPA_ARGUMENTOS'!$B$7:$B$80,A14))</x:f>
      </x:c>
      <x:c r="T14" s="30" t="str">
        <x:f>IF(A14="","",COUNTIF('05_EVIDENCIAS_FONTES'!$B$7:$B$80,A14))</x:f>
      </x:c>
      <x:c r="U14" s="30" t="str">
        <x:f>IF(A14="","",COUNTIF('07_ATIVOS_DERIVADOS'!$B$7:$B$80,A14))</x:f>
      </x:c>
      <x:c r="V14" s="30" t="str">
        <x:f>IF(A14="","",COUNTIF('14_CALENDARIO_PUBLICACAO'!$B$7:$B$80,A14))</x:f>
      </x:c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4"/>
      <x:c r="P15" s="34"/>
      <x:c r="Q15" s="30"/>
      <x:c r="R15" s="30"/>
      <x:c r="S15" s="30" t="str">
        <x:f>IF(A15="","",COUNTIF('04_MAPA_ARGUMENTOS'!$B$7:$B$80,A15))</x:f>
      </x:c>
      <x:c r="T15" s="30" t="str">
        <x:f>IF(A15="","",COUNTIF('05_EVIDENCIAS_FONTES'!$B$7:$B$80,A15))</x:f>
      </x:c>
      <x:c r="U15" s="30" t="str">
        <x:f>IF(A15="","",COUNTIF('07_ATIVOS_DERIVADOS'!$B$7:$B$80,A15))</x:f>
      </x:c>
      <x:c r="V15" s="30" t="str">
        <x:f>IF(A15="","",COUNTIF('14_CALENDARIO_PUBLICACAO'!$B$7:$B$80,A15))</x:f>
      </x:c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4"/>
      <x:c r="P16" s="34"/>
      <x:c r="Q16" s="30"/>
      <x:c r="R16" s="30"/>
      <x:c r="S16" s="30" t="str">
        <x:f>IF(A16="","",COUNTIF('04_MAPA_ARGUMENTOS'!$B$7:$B$80,A16))</x:f>
      </x:c>
      <x:c r="T16" s="30" t="str">
        <x:f>IF(A16="","",COUNTIF('05_EVIDENCIAS_FONTES'!$B$7:$B$80,A16))</x:f>
      </x:c>
      <x:c r="U16" s="30" t="str">
        <x:f>IF(A16="","",COUNTIF('07_ATIVOS_DERIVADOS'!$B$7:$B$80,A16))</x:f>
      </x:c>
      <x:c r="V16" s="30" t="str">
        <x:f>IF(A16="","",COUNTIF('14_CALENDARIO_PUBLICACAO'!$B$7:$B$80,A16))</x:f>
      </x:c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4"/>
      <x:c r="P17" s="34"/>
      <x:c r="Q17" s="30"/>
      <x:c r="R17" s="30"/>
      <x:c r="S17" s="30" t="str">
        <x:f>IF(A17="","",COUNTIF('04_MAPA_ARGUMENTOS'!$B$7:$B$80,A17))</x:f>
      </x:c>
      <x:c r="T17" s="30" t="str">
        <x:f>IF(A17="","",COUNTIF('05_EVIDENCIAS_FONTES'!$B$7:$B$80,A17))</x:f>
      </x:c>
      <x:c r="U17" s="30" t="str">
        <x:f>IF(A17="","",COUNTIF('07_ATIVOS_DERIVADOS'!$B$7:$B$80,A17))</x:f>
      </x:c>
      <x:c r="V17" s="30" t="str">
        <x:f>IF(A17="","",COUNTIF('14_CALENDARIO_PUBLICACAO'!$B$7:$B$80,A17))</x:f>
      </x:c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4"/>
      <x:c r="P18" s="34"/>
      <x:c r="Q18" s="30"/>
      <x:c r="R18" s="30"/>
      <x:c r="S18" s="30" t="str">
        <x:f>IF(A18="","",COUNTIF('04_MAPA_ARGUMENTOS'!$B$7:$B$80,A18))</x:f>
      </x:c>
      <x:c r="T18" s="30" t="str">
        <x:f>IF(A18="","",COUNTIF('05_EVIDENCIAS_FONTES'!$B$7:$B$80,A18))</x:f>
      </x:c>
      <x:c r="U18" s="30" t="str">
        <x:f>IF(A18="","",COUNTIF('07_ATIVOS_DERIVADOS'!$B$7:$B$80,A18))</x:f>
      </x:c>
      <x:c r="V18" s="30" t="str">
        <x:f>IF(A18="","",COUNTIF('14_CALENDARIO_PUBLICACAO'!$B$7:$B$80,A18))</x:f>
      </x:c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4"/>
      <x:c r="P19" s="34"/>
      <x:c r="Q19" s="30"/>
      <x:c r="R19" s="30"/>
      <x:c r="S19" s="30" t="str">
        <x:f>IF(A19="","",COUNTIF('04_MAPA_ARGUMENTOS'!$B$7:$B$80,A19))</x:f>
      </x:c>
      <x:c r="T19" s="30" t="str">
        <x:f>IF(A19="","",COUNTIF('05_EVIDENCIAS_FONTES'!$B$7:$B$80,A19))</x:f>
      </x:c>
      <x:c r="U19" s="30" t="str">
        <x:f>IF(A19="","",COUNTIF('07_ATIVOS_DERIVADOS'!$B$7:$B$80,A19))</x:f>
      </x:c>
      <x:c r="V19" s="30" t="str">
        <x:f>IF(A19="","",COUNTIF('14_CALENDARIO_PUBLICACAO'!$B$7:$B$80,A19))</x:f>
      </x:c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4"/>
      <x:c r="P20" s="34"/>
      <x:c r="Q20" s="30"/>
      <x:c r="R20" s="30"/>
      <x:c r="S20" s="30" t="str">
        <x:f>IF(A20="","",COUNTIF('04_MAPA_ARGUMENTOS'!$B$7:$B$80,A20))</x:f>
      </x:c>
      <x:c r="T20" s="30" t="str">
        <x:f>IF(A20="","",COUNTIF('05_EVIDENCIAS_FONTES'!$B$7:$B$80,A20))</x:f>
      </x:c>
      <x:c r="U20" s="30" t="str">
        <x:f>IF(A20="","",COUNTIF('07_ATIVOS_DERIVADOS'!$B$7:$B$80,A20))</x:f>
      </x:c>
      <x:c r="V20" s="30" t="str">
        <x:f>IF(A20="","",COUNTIF('14_CALENDARIO_PUBLICACAO'!$B$7:$B$80,A20))</x:f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4"/>
      <x:c r="P21" s="34"/>
      <x:c r="Q21" s="30"/>
      <x:c r="R21" s="30"/>
      <x:c r="S21" s="30" t="str">
        <x:f>IF(A21="","",COUNTIF('04_MAPA_ARGUMENTOS'!$B$7:$B$80,A21))</x:f>
      </x:c>
      <x:c r="T21" s="30" t="str">
        <x:f>IF(A21="","",COUNTIF('05_EVIDENCIAS_FONTES'!$B$7:$B$80,A21))</x:f>
      </x:c>
      <x:c r="U21" s="30" t="str">
        <x:f>IF(A21="","",COUNTIF('07_ATIVOS_DERIVADOS'!$B$7:$B$80,A21))</x:f>
      </x:c>
      <x:c r="V21" s="30" t="str">
        <x:f>IF(A21="","",COUNTIF('14_CALENDARIO_PUBLICACAO'!$B$7:$B$80,A21))</x:f>
      </x:c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4"/>
      <x:c r="P22" s="34"/>
      <x:c r="Q22" s="30"/>
      <x:c r="R22" s="30"/>
      <x:c r="S22" s="30" t="str">
        <x:f>IF(A22="","",COUNTIF('04_MAPA_ARGUMENTOS'!$B$7:$B$80,A22))</x:f>
      </x:c>
      <x:c r="T22" s="30" t="str">
        <x:f>IF(A22="","",COUNTIF('05_EVIDENCIAS_FONTES'!$B$7:$B$80,A22))</x:f>
      </x:c>
      <x:c r="U22" s="30" t="str">
        <x:f>IF(A22="","",COUNTIF('07_ATIVOS_DERIVADOS'!$B$7:$B$80,A22))</x:f>
      </x:c>
      <x:c r="V22" s="30" t="str">
        <x:f>IF(A22="","",COUNTIF('14_CALENDARIO_PUBLICACAO'!$B$7:$B$80,A22))</x:f>
      </x:c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4"/>
      <x:c r="P23" s="34"/>
      <x:c r="Q23" s="30"/>
      <x:c r="R23" s="30"/>
      <x:c r="S23" s="30" t="str">
        <x:f>IF(A23="","",COUNTIF('04_MAPA_ARGUMENTOS'!$B$7:$B$80,A23))</x:f>
      </x:c>
      <x:c r="T23" s="30" t="str">
        <x:f>IF(A23="","",COUNTIF('05_EVIDENCIAS_FONTES'!$B$7:$B$80,A23))</x:f>
      </x:c>
      <x:c r="U23" s="30" t="str">
        <x:f>IF(A23="","",COUNTIF('07_ATIVOS_DERIVADOS'!$B$7:$B$80,A23))</x:f>
      </x:c>
      <x:c r="V23" s="30" t="str">
        <x:f>IF(A23="","",COUNTIF('14_CALENDARIO_PUBLICACAO'!$B$7:$B$80,A23))</x:f>
      </x:c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4"/>
      <x:c r="P24" s="34"/>
      <x:c r="Q24" s="30"/>
      <x:c r="R24" s="30"/>
      <x:c r="S24" s="30" t="str">
        <x:f>IF(A24="","",COUNTIF('04_MAPA_ARGUMENTOS'!$B$7:$B$80,A24))</x:f>
      </x:c>
      <x:c r="T24" s="30" t="str">
        <x:f>IF(A24="","",COUNTIF('05_EVIDENCIAS_FONTES'!$B$7:$B$80,A24))</x:f>
      </x:c>
      <x:c r="U24" s="30" t="str">
        <x:f>IF(A24="","",COUNTIF('07_ATIVOS_DERIVADOS'!$B$7:$B$80,A24))</x:f>
      </x:c>
      <x:c r="V24" s="30" t="str">
        <x:f>IF(A24="","",COUNTIF('14_CALENDARIO_PUBLICACAO'!$B$7:$B$80,A24))</x:f>
      </x:c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4"/>
      <x:c r="P25" s="34"/>
      <x:c r="Q25" s="30"/>
      <x:c r="R25" s="30"/>
      <x:c r="S25" s="30" t="str">
        <x:f>IF(A25="","",COUNTIF('04_MAPA_ARGUMENTOS'!$B$7:$B$80,A25))</x:f>
      </x:c>
      <x:c r="T25" s="30" t="str">
        <x:f>IF(A25="","",COUNTIF('05_EVIDENCIAS_FONTES'!$B$7:$B$80,A25))</x:f>
      </x:c>
      <x:c r="U25" s="30" t="str">
        <x:f>IF(A25="","",COUNTIF('07_ATIVOS_DERIVADOS'!$B$7:$B$80,A25))</x:f>
      </x:c>
      <x:c r="V25" s="30" t="str">
        <x:f>IF(A25="","",COUNTIF('14_CALENDARIO_PUBLICACAO'!$B$7:$B$80,A25))</x:f>
      </x:c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4"/>
      <x:c r="P26" s="34"/>
      <x:c r="Q26" s="30"/>
      <x:c r="R26" s="30"/>
      <x:c r="S26" s="30" t="str">
        <x:f>IF(A26="","",COUNTIF('04_MAPA_ARGUMENTOS'!$B$7:$B$80,A26))</x:f>
      </x:c>
      <x:c r="T26" s="30" t="str">
        <x:f>IF(A26="","",COUNTIF('05_EVIDENCIAS_FONTES'!$B$7:$B$80,A26))</x:f>
      </x:c>
      <x:c r="U26" s="30" t="str">
        <x:f>IF(A26="","",COUNTIF('07_ATIVOS_DERIVADOS'!$B$7:$B$80,A26))</x:f>
      </x:c>
      <x:c r="V26" s="30" t="str">
        <x:f>IF(A26="","",COUNTIF('14_CALENDARIO_PUBLICACAO'!$B$7:$B$80,A26))</x:f>
      </x:c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4"/>
      <x:c r="P27" s="34"/>
      <x:c r="Q27" s="30"/>
      <x:c r="R27" s="30"/>
      <x:c r="S27" s="30" t="str">
        <x:f>IF(A27="","",COUNTIF('04_MAPA_ARGUMENTOS'!$B$7:$B$80,A27))</x:f>
      </x:c>
      <x:c r="T27" s="30" t="str">
        <x:f>IF(A27="","",COUNTIF('05_EVIDENCIAS_FONTES'!$B$7:$B$80,A27))</x:f>
      </x:c>
      <x:c r="U27" s="30" t="str">
        <x:f>IF(A27="","",COUNTIF('07_ATIVOS_DERIVADOS'!$B$7:$B$80,A27))</x:f>
      </x:c>
      <x:c r="V27" s="30" t="str">
        <x:f>IF(A27="","",COUNTIF('14_CALENDARIO_PUBLICACAO'!$B$7:$B$80,A27))</x:f>
      </x:c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4"/>
      <x:c r="P28" s="34"/>
      <x:c r="Q28" s="30"/>
      <x:c r="R28" s="30"/>
      <x:c r="S28" s="30" t="str">
        <x:f>IF(A28="","",COUNTIF('04_MAPA_ARGUMENTOS'!$B$7:$B$80,A28))</x:f>
      </x:c>
      <x:c r="T28" s="30" t="str">
        <x:f>IF(A28="","",COUNTIF('05_EVIDENCIAS_FONTES'!$B$7:$B$80,A28))</x:f>
      </x:c>
      <x:c r="U28" s="30" t="str">
        <x:f>IF(A28="","",COUNTIF('07_ATIVOS_DERIVADOS'!$B$7:$B$80,A28))</x:f>
      </x:c>
      <x:c r="V28" s="30" t="str">
        <x:f>IF(A28="","",COUNTIF('14_CALENDARIO_PUBLICACAO'!$B$7:$B$80,A28))</x:f>
      </x:c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4"/>
      <x:c r="P29" s="34"/>
      <x:c r="Q29" s="30"/>
      <x:c r="R29" s="30"/>
      <x:c r="S29" s="30" t="str">
        <x:f>IF(A29="","",COUNTIF('04_MAPA_ARGUMENTOS'!$B$7:$B$80,A29))</x:f>
      </x:c>
      <x:c r="T29" s="30" t="str">
        <x:f>IF(A29="","",COUNTIF('05_EVIDENCIAS_FONTES'!$B$7:$B$80,A29))</x:f>
      </x:c>
      <x:c r="U29" s="30" t="str">
        <x:f>IF(A29="","",COUNTIF('07_ATIVOS_DERIVADOS'!$B$7:$B$80,A29))</x:f>
      </x:c>
      <x:c r="V29" s="30" t="str">
        <x:f>IF(A29="","",COUNTIF('14_CALENDARIO_PUBLICACAO'!$B$7:$B$80,A29))</x:f>
      </x:c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4"/>
      <x:c r="P30" s="34"/>
      <x:c r="Q30" s="30"/>
      <x:c r="R30" s="30"/>
      <x:c r="S30" s="30" t="str">
        <x:f>IF(A30="","",COUNTIF('04_MAPA_ARGUMENTOS'!$B$7:$B$80,A30))</x:f>
      </x:c>
      <x:c r="T30" s="30" t="str">
        <x:f>IF(A30="","",COUNTIF('05_EVIDENCIAS_FONTES'!$B$7:$B$80,A30))</x:f>
      </x:c>
      <x:c r="U30" s="30" t="str">
        <x:f>IF(A30="","",COUNTIF('07_ATIVOS_DERIVADOS'!$B$7:$B$80,A30))</x:f>
      </x:c>
      <x:c r="V30" s="30" t="str">
        <x:f>IF(A30="","",COUNTIF('14_CALENDARIO_PUBLICACAO'!$B$7:$B$80,A30))</x:f>
      </x:c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4"/>
      <x:c r="P31" s="34"/>
      <x:c r="Q31" s="30"/>
      <x:c r="R31" s="30"/>
      <x:c r="S31" s="30" t="str">
        <x:f>IF(A31="","",COUNTIF('04_MAPA_ARGUMENTOS'!$B$7:$B$80,A31))</x:f>
      </x:c>
      <x:c r="T31" s="30" t="str">
        <x:f>IF(A31="","",COUNTIF('05_EVIDENCIAS_FONTES'!$B$7:$B$80,A31))</x:f>
      </x:c>
      <x:c r="U31" s="30" t="str">
        <x:f>IF(A31="","",COUNTIF('07_ATIVOS_DERIVADOS'!$B$7:$B$80,A31))</x:f>
      </x:c>
      <x:c r="V31" s="30" t="str">
        <x:f>IF(A31="","",COUNTIF('14_CALENDARIO_PUBLICACAO'!$B$7:$B$80,A31))</x:f>
      </x:c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4"/>
      <x:c r="P32" s="34"/>
      <x:c r="Q32" s="30"/>
      <x:c r="R32" s="30"/>
      <x:c r="S32" s="30" t="str">
        <x:f>IF(A32="","",COUNTIF('04_MAPA_ARGUMENTOS'!$B$7:$B$80,A32))</x:f>
      </x:c>
      <x:c r="T32" s="30" t="str">
        <x:f>IF(A32="","",COUNTIF('05_EVIDENCIAS_FONTES'!$B$7:$B$80,A32))</x:f>
      </x:c>
      <x:c r="U32" s="30" t="str">
        <x:f>IF(A32="","",COUNTIF('07_ATIVOS_DERIVADOS'!$B$7:$B$80,A32))</x:f>
      </x:c>
      <x:c r="V32" s="30" t="str">
        <x:f>IF(A32="","",COUNTIF('14_CALENDARIO_PUBLICACAO'!$B$7:$B$80,A32))</x:f>
      </x:c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4"/>
      <x:c r="P33" s="34"/>
      <x:c r="Q33" s="30"/>
      <x:c r="R33" s="30"/>
      <x:c r="S33" s="30" t="str">
        <x:f>IF(A33="","",COUNTIF('04_MAPA_ARGUMENTOS'!$B$7:$B$80,A33))</x:f>
      </x:c>
      <x:c r="T33" s="30" t="str">
        <x:f>IF(A33="","",COUNTIF('05_EVIDENCIAS_FONTES'!$B$7:$B$80,A33))</x:f>
      </x:c>
      <x:c r="U33" s="30" t="str">
        <x:f>IF(A33="","",COUNTIF('07_ATIVOS_DERIVADOS'!$B$7:$B$80,A33))</x:f>
      </x:c>
      <x:c r="V33" s="30" t="str">
        <x:f>IF(A33="","",COUNTIF('14_CALENDARIO_PUBLICACAO'!$B$7:$B$80,A33))</x:f>
      </x:c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4"/>
      <x:c r="P34" s="34"/>
      <x:c r="Q34" s="30"/>
      <x:c r="R34" s="30"/>
      <x:c r="S34" s="30" t="str">
        <x:f>IF(A34="","",COUNTIF('04_MAPA_ARGUMENTOS'!$B$7:$B$80,A34))</x:f>
      </x:c>
      <x:c r="T34" s="30" t="str">
        <x:f>IF(A34="","",COUNTIF('05_EVIDENCIAS_FONTES'!$B$7:$B$80,A34))</x:f>
      </x:c>
      <x:c r="U34" s="30" t="str">
        <x:f>IF(A34="","",COUNTIF('07_ATIVOS_DERIVADOS'!$B$7:$B$80,A34))</x:f>
      </x:c>
      <x:c r="V34" s="30" t="str">
        <x:f>IF(A34="","",COUNTIF('14_CALENDARIO_PUBLICACAO'!$B$7:$B$80,A34))</x:f>
      </x:c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4"/>
      <x:c r="P35" s="34"/>
      <x:c r="Q35" s="30"/>
      <x:c r="R35" s="30"/>
      <x:c r="S35" s="30" t="str">
        <x:f>IF(A35="","",COUNTIF('04_MAPA_ARGUMENTOS'!$B$7:$B$80,A35))</x:f>
      </x:c>
      <x:c r="T35" s="30" t="str">
        <x:f>IF(A35="","",COUNTIF('05_EVIDENCIAS_FONTES'!$B$7:$B$80,A35))</x:f>
      </x:c>
      <x:c r="U35" s="30" t="str">
        <x:f>IF(A35="","",COUNTIF('07_ATIVOS_DERIVADOS'!$B$7:$B$80,A35))</x:f>
      </x:c>
      <x:c r="V35" s="30" t="str">
        <x:f>IF(A35="","",COUNTIF('14_CALENDARIO_PUBLICACAO'!$B$7:$B$80,A35))</x:f>
      </x:c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4"/>
      <x:c r="P36" s="34"/>
      <x:c r="Q36" s="30"/>
      <x:c r="R36" s="30"/>
      <x:c r="S36" s="30" t="str">
        <x:f>IF(A36="","",COUNTIF('04_MAPA_ARGUMENTOS'!$B$7:$B$80,A36))</x:f>
      </x:c>
      <x:c r="T36" s="30" t="str">
        <x:f>IF(A36="","",COUNTIF('05_EVIDENCIAS_FONTES'!$B$7:$B$80,A36))</x:f>
      </x:c>
      <x:c r="U36" s="30" t="str">
        <x:f>IF(A36="","",COUNTIF('07_ATIVOS_DERIVADOS'!$B$7:$B$80,A36))</x:f>
      </x:c>
      <x:c r="V36" s="30" t="str">
        <x:f>IF(A36="","",COUNTIF('14_CALENDARIO_PUBLICACAO'!$B$7:$B$80,A36))</x:f>
      </x:c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4"/>
      <x:c r="P37" s="34"/>
      <x:c r="Q37" s="30"/>
      <x:c r="R37" s="30"/>
      <x:c r="S37" s="30" t="str">
        <x:f>IF(A37="","",COUNTIF('04_MAPA_ARGUMENTOS'!$B$7:$B$80,A37))</x:f>
      </x:c>
      <x:c r="T37" s="30" t="str">
        <x:f>IF(A37="","",COUNTIF('05_EVIDENCIAS_FONTES'!$B$7:$B$80,A37))</x:f>
      </x:c>
      <x:c r="U37" s="30" t="str">
        <x:f>IF(A37="","",COUNTIF('07_ATIVOS_DERIVADOS'!$B$7:$B$80,A37))</x:f>
      </x:c>
      <x:c r="V37" s="30" t="str">
        <x:f>IF(A37="","",COUNTIF('14_CALENDARIO_PUBLICACAO'!$B$7:$B$80,A37))</x:f>
      </x:c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4"/>
      <x:c r="P38" s="34"/>
      <x:c r="Q38" s="30"/>
      <x:c r="R38" s="30"/>
      <x:c r="S38" s="30" t="str">
        <x:f>IF(A38="","",COUNTIF('04_MAPA_ARGUMENTOS'!$B$7:$B$80,A38))</x:f>
      </x:c>
      <x:c r="T38" s="30" t="str">
        <x:f>IF(A38="","",COUNTIF('05_EVIDENCIAS_FONTES'!$B$7:$B$80,A38))</x:f>
      </x:c>
      <x:c r="U38" s="30" t="str">
        <x:f>IF(A38="","",COUNTIF('07_ATIVOS_DERIVADOS'!$B$7:$B$80,A38))</x:f>
      </x:c>
      <x:c r="V38" s="30" t="str">
        <x:f>IF(A38="","",COUNTIF('14_CALENDARIO_PUBLICACAO'!$B$7:$B$80,A38))</x:f>
      </x:c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4"/>
      <x:c r="P39" s="34"/>
      <x:c r="Q39" s="30"/>
      <x:c r="R39" s="30"/>
      <x:c r="S39" s="30" t="str">
        <x:f>IF(A39="","",COUNTIF('04_MAPA_ARGUMENTOS'!$B$7:$B$80,A39))</x:f>
      </x:c>
      <x:c r="T39" s="30" t="str">
        <x:f>IF(A39="","",COUNTIF('05_EVIDENCIAS_FONTES'!$B$7:$B$80,A39))</x:f>
      </x:c>
      <x:c r="U39" s="30" t="str">
        <x:f>IF(A39="","",COUNTIF('07_ATIVOS_DERIVADOS'!$B$7:$B$80,A39))</x:f>
      </x:c>
      <x:c r="V39" s="30" t="str">
        <x:f>IF(A39="","",COUNTIF('14_CALENDARIO_PUBLICACAO'!$B$7:$B$80,A39))</x:f>
      </x:c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4"/>
      <x:c r="P40" s="34"/>
      <x:c r="Q40" s="30"/>
      <x:c r="R40" s="30"/>
      <x:c r="S40" s="30" t="str">
        <x:f>IF(A40="","",COUNTIF('04_MAPA_ARGUMENTOS'!$B$7:$B$80,A40))</x:f>
      </x:c>
      <x:c r="T40" s="30" t="str">
        <x:f>IF(A40="","",COUNTIF('05_EVIDENCIAS_FONTES'!$B$7:$B$80,A40))</x:f>
      </x:c>
      <x:c r="U40" s="30" t="str">
        <x:f>IF(A40="","",COUNTIF('07_ATIVOS_DERIVADOS'!$B$7:$B$80,A40))</x:f>
      </x:c>
      <x:c r="V40" s="30" t="str">
        <x:f>IF(A40="","",COUNTIF('14_CALENDARIO_PUBLICACAO'!$B$7:$B$80,A40))</x:f>
      </x:c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4"/>
      <x:c r="P41" s="34"/>
      <x:c r="Q41" s="30"/>
      <x:c r="R41" s="30"/>
      <x:c r="S41" s="30" t="str">
        <x:f>IF(A41="","",COUNTIF('04_MAPA_ARGUMENTOS'!$B$7:$B$80,A41))</x:f>
      </x:c>
      <x:c r="T41" s="30" t="str">
        <x:f>IF(A41="","",COUNTIF('05_EVIDENCIAS_FONTES'!$B$7:$B$80,A41))</x:f>
      </x:c>
      <x:c r="U41" s="30" t="str">
        <x:f>IF(A41="","",COUNTIF('07_ATIVOS_DERIVADOS'!$B$7:$B$80,A41))</x:f>
      </x:c>
      <x:c r="V41" s="30" t="str">
        <x:f>IF(A41="","",COUNTIF('14_CALENDARIO_PUBLICACAO'!$B$7:$B$80,A41))</x:f>
      </x:c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4"/>
      <x:c r="P42" s="34"/>
      <x:c r="Q42" s="30"/>
      <x:c r="R42" s="30"/>
      <x:c r="S42" s="30" t="str">
        <x:f>IF(A42="","",COUNTIF('04_MAPA_ARGUMENTOS'!$B$7:$B$80,A42))</x:f>
      </x:c>
      <x:c r="T42" s="30" t="str">
        <x:f>IF(A42="","",COUNTIF('05_EVIDENCIAS_FONTES'!$B$7:$B$80,A42))</x:f>
      </x:c>
      <x:c r="U42" s="30" t="str">
        <x:f>IF(A42="","",COUNTIF('07_ATIVOS_DERIVADOS'!$B$7:$B$80,A42))</x:f>
      </x:c>
      <x:c r="V42" s="30" t="str">
        <x:f>IF(A42="","",COUNTIF('14_CALENDARIO_PUBLICACAO'!$B$7:$B$80,A42))</x:f>
      </x:c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4"/>
      <x:c r="P43" s="34"/>
      <x:c r="Q43" s="30"/>
      <x:c r="R43" s="30"/>
      <x:c r="S43" s="30" t="str">
        <x:f>IF(A43="","",COUNTIF('04_MAPA_ARGUMENTOS'!$B$7:$B$80,A43))</x:f>
      </x:c>
      <x:c r="T43" s="30" t="str">
        <x:f>IF(A43="","",COUNTIF('05_EVIDENCIAS_FONTES'!$B$7:$B$80,A43))</x:f>
      </x:c>
      <x:c r="U43" s="30" t="str">
        <x:f>IF(A43="","",COUNTIF('07_ATIVOS_DERIVADOS'!$B$7:$B$80,A43))</x:f>
      </x:c>
      <x:c r="V43" s="30" t="str">
        <x:f>IF(A43="","",COUNTIF('14_CALENDARIO_PUBLICACAO'!$B$7:$B$80,A43))</x:f>
      </x:c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4"/>
      <x:c r="P44" s="34"/>
      <x:c r="Q44" s="30"/>
      <x:c r="R44" s="30"/>
      <x:c r="S44" s="30" t="str">
        <x:f>IF(A44="","",COUNTIF('04_MAPA_ARGUMENTOS'!$B$7:$B$80,A44))</x:f>
      </x:c>
      <x:c r="T44" s="30" t="str">
        <x:f>IF(A44="","",COUNTIF('05_EVIDENCIAS_FONTES'!$B$7:$B$80,A44))</x:f>
      </x:c>
      <x:c r="U44" s="30" t="str">
        <x:f>IF(A44="","",COUNTIF('07_ATIVOS_DERIVADOS'!$B$7:$B$80,A44))</x:f>
      </x:c>
      <x:c r="V44" s="30" t="str">
        <x:f>IF(A44="","",COUNTIF('14_CALENDARIO_PUBLICACAO'!$B$7:$B$80,A44))</x:f>
      </x:c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4"/>
      <x:c r="P45" s="34"/>
      <x:c r="Q45" s="30"/>
      <x:c r="R45" s="30"/>
      <x:c r="S45" s="30" t="str">
        <x:f>IF(A45="","",COUNTIF('04_MAPA_ARGUMENTOS'!$B$7:$B$80,A45))</x:f>
      </x:c>
      <x:c r="T45" s="30" t="str">
        <x:f>IF(A45="","",COUNTIF('05_EVIDENCIAS_FONTES'!$B$7:$B$80,A45))</x:f>
      </x:c>
      <x:c r="U45" s="30" t="str">
        <x:f>IF(A45="","",COUNTIF('07_ATIVOS_DERIVADOS'!$B$7:$B$80,A45))</x:f>
      </x:c>
      <x:c r="V45" s="30" t="str">
        <x:f>IF(A45="","",COUNTIF('14_CALENDARIO_PUBLICACAO'!$B$7:$B$80,A45))</x:f>
      </x:c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4"/>
      <x:c r="P46" s="34"/>
      <x:c r="Q46" s="30"/>
      <x:c r="R46" s="30"/>
      <x:c r="S46" s="30" t="str">
        <x:f>IF(A46="","",COUNTIF('04_MAPA_ARGUMENTOS'!$B$7:$B$80,A46))</x:f>
      </x:c>
      <x:c r="T46" s="30" t="str">
        <x:f>IF(A46="","",COUNTIF('05_EVIDENCIAS_FONTES'!$B$7:$B$80,A46))</x:f>
      </x:c>
      <x:c r="U46" s="30" t="str">
        <x:f>IF(A46="","",COUNTIF('07_ATIVOS_DERIVADOS'!$B$7:$B$80,A46))</x:f>
      </x:c>
      <x:c r="V46" s="30" t="str">
        <x:f>IF(A46="","",COUNTIF('14_CALENDARIO_PUBLICACAO'!$B$7:$B$80,A46))</x:f>
      </x:c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4"/>
      <x:c r="P47" s="34"/>
      <x:c r="Q47" s="30"/>
      <x:c r="R47" s="30"/>
      <x:c r="S47" s="30" t="str">
        <x:f>IF(A47="","",COUNTIF('04_MAPA_ARGUMENTOS'!$B$7:$B$80,A47))</x:f>
      </x:c>
      <x:c r="T47" s="30" t="str">
        <x:f>IF(A47="","",COUNTIF('05_EVIDENCIAS_FONTES'!$B$7:$B$80,A47))</x:f>
      </x:c>
      <x:c r="U47" s="30" t="str">
        <x:f>IF(A47="","",COUNTIF('07_ATIVOS_DERIVADOS'!$B$7:$B$80,A47))</x:f>
      </x:c>
      <x:c r="V47" s="30" t="str">
        <x:f>IF(A47="","",COUNTIF('14_CALENDARIO_PUBLICACAO'!$B$7:$B$80,A47))</x:f>
      </x:c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4"/>
      <x:c r="P48" s="34"/>
      <x:c r="Q48" s="30"/>
      <x:c r="R48" s="30"/>
      <x:c r="S48" s="30" t="str">
        <x:f>IF(A48="","",COUNTIF('04_MAPA_ARGUMENTOS'!$B$7:$B$80,A48))</x:f>
      </x:c>
      <x:c r="T48" s="30" t="str">
        <x:f>IF(A48="","",COUNTIF('05_EVIDENCIAS_FONTES'!$B$7:$B$80,A48))</x:f>
      </x:c>
      <x:c r="U48" s="30" t="str">
        <x:f>IF(A48="","",COUNTIF('07_ATIVOS_DERIVADOS'!$B$7:$B$80,A48))</x:f>
      </x:c>
      <x:c r="V48" s="30" t="str">
        <x:f>IF(A48="","",COUNTIF('14_CALENDARIO_PUBLICACAO'!$B$7:$B$80,A48))</x:f>
      </x:c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4"/>
      <x:c r="P49" s="34"/>
      <x:c r="Q49" s="30"/>
      <x:c r="R49" s="30"/>
      <x:c r="S49" s="30" t="str">
        <x:f>IF(A49="","",COUNTIF('04_MAPA_ARGUMENTOS'!$B$7:$B$80,A49))</x:f>
      </x:c>
      <x:c r="T49" s="30" t="str">
        <x:f>IF(A49="","",COUNTIF('05_EVIDENCIAS_FONTES'!$B$7:$B$80,A49))</x:f>
      </x:c>
      <x:c r="U49" s="30" t="str">
        <x:f>IF(A49="","",COUNTIF('07_ATIVOS_DERIVADOS'!$B$7:$B$80,A49))</x:f>
      </x:c>
      <x:c r="V49" s="30" t="str">
        <x:f>IF(A49="","",COUNTIF('14_CALENDARIO_PUBLICACAO'!$B$7:$B$80,A49))</x:f>
      </x:c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4"/>
      <x:c r="P50" s="34"/>
      <x:c r="Q50" s="30"/>
      <x:c r="R50" s="30"/>
      <x:c r="S50" s="30" t="str">
        <x:f>IF(A50="","",COUNTIF('04_MAPA_ARGUMENTOS'!$B$7:$B$80,A50))</x:f>
      </x:c>
      <x:c r="T50" s="30" t="str">
        <x:f>IF(A50="","",COUNTIF('05_EVIDENCIAS_FONTES'!$B$7:$B$80,A50))</x:f>
      </x:c>
      <x:c r="U50" s="30" t="str">
        <x:f>IF(A50="","",COUNTIF('07_ATIVOS_DERIVADOS'!$B$7:$B$80,A50))</x:f>
      </x:c>
      <x:c r="V50" s="30" t="str">
        <x:f>IF(A50="","",COUNTIF('14_CALENDARIO_PUBLICACAO'!$B$7:$B$80,A50))</x:f>
      </x:c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4"/>
      <x:c r="P51" s="34"/>
      <x:c r="Q51" s="30"/>
      <x:c r="R51" s="30"/>
      <x:c r="S51" s="30" t="str">
        <x:f>IF(A51="","",COUNTIF('04_MAPA_ARGUMENTOS'!$B$7:$B$80,A51))</x:f>
      </x:c>
      <x:c r="T51" s="30" t="str">
        <x:f>IF(A51="","",COUNTIF('05_EVIDENCIAS_FONTES'!$B$7:$B$80,A51))</x:f>
      </x:c>
      <x:c r="U51" s="30" t="str">
        <x:f>IF(A51="","",COUNTIF('07_ATIVOS_DERIVADOS'!$B$7:$B$80,A51))</x:f>
      </x:c>
      <x:c r="V51" s="30" t="str">
        <x:f>IF(A51="","",COUNTIF('14_CALENDARIO_PUBLICACAO'!$B$7:$B$80,A51))</x:f>
      </x:c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4"/>
      <x:c r="P52" s="34"/>
      <x:c r="Q52" s="30"/>
      <x:c r="R52" s="30"/>
      <x:c r="S52" s="30" t="str">
        <x:f>IF(A52="","",COUNTIF('04_MAPA_ARGUMENTOS'!$B$7:$B$80,A52))</x:f>
      </x:c>
      <x:c r="T52" s="30" t="str">
        <x:f>IF(A52="","",COUNTIF('05_EVIDENCIAS_FONTES'!$B$7:$B$80,A52))</x:f>
      </x:c>
      <x:c r="U52" s="30" t="str">
        <x:f>IF(A52="","",COUNTIF('07_ATIVOS_DERIVADOS'!$B$7:$B$80,A52))</x:f>
      </x:c>
      <x:c r="V52" s="30" t="str">
        <x:f>IF(A52="","",COUNTIF('14_CALENDARIO_PUBLICACAO'!$B$7:$B$80,A52))</x:f>
      </x:c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4"/>
      <x:c r="P53" s="34"/>
      <x:c r="Q53" s="30"/>
      <x:c r="R53" s="30"/>
      <x:c r="S53" s="30" t="str">
        <x:f>IF(A53="","",COUNTIF('04_MAPA_ARGUMENTOS'!$B$7:$B$80,A53))</x:f>
      </x:c>
      <x:c r="T53" s="30" t="str">
        <x:f>IF(A53="","",COUNTIF('05_EVIDENCIAS_FONTES'!$B$7:$B$80,A53))</x:f>
      </x:c>
      <x:c r="U53" s="30" t="str">
        <x:f>IF(A53="","",COUNTIF('07_ATIVOS_DERIVADOS'!$B$7:$B$80,A53))</x:f>
      </x:c>
      <x:c r="V53" s="30" t="str">
        <x:f>IF(A53="","",COUNTIF('14_CALENDARIO_PUBLICACAO'!$B$7:$B$80,A53))</x:f>
      </x:c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4"/>
      <x:c r="P54" s="34"/>
      <x:c r="Q54" s="30"/>
      <x:c r="R54" s="30"/>
      <x:c r="S54" s="30" t="str">
        <x:f>IF(A54="","",COUNTIF('04_MAPA_ARGUMENTOS'!$B$7:$B$80,A54))</x:f>
      </x:c>
      <x:c r="T54" s="30" t="str">
        <x:f>IF(A54="","",COUNTIF('05_EVIDENCIAS_FONTES'!$B$7:$B$80,A54))</x:f>
      </x:c>
      <x:c r="U54" s="30" t="str">
        <x:f>IF(A54="","",COUNTIF('07_ATIVOS_DERIVADOS'!$B$7:$B$80,A54))</x:f>
      </x:c>
      <x:c r="V54" s="30" t="str">
        <x:f>IF(A54="","",COUNTIF('14_CALENDARIO_PUBLICACAO'!$B$7:$B$80,A54))</x:f>
      </x:c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4"/>
      <x:c r="P55" s="34"/>
      <x:c r="Q55" s="30"/>
      <x:c r="R55" s="30"/>
      <x:c r="S55" s="30" t="str">
        <x:f>IF(A55="","",COUNTIF('04_MAPA_ARGUMENTOS'!$B$7:$B$80,A55))</x:f>
      </x:c>
      <x:c r="T55" s="30" t="str">
        <x:f>IF(A55="","",COUNTIF('05_EVIDENCIAS_FONTES'!$B$7:$B$80,A55))</x:f>
      </x:c>
      <x:c r="U55" s="30" t="str">
        <x:f>IF(A55="","",COUNTIF('07_ATIVOS_DERIVADOS'!$B$7:$B$80,A55))</x:f>
      </x:c>
      <x:c r="V55" s="30" t="str">
        <x:f>IF(A55="","",COUNTIF('14_CALENDARIO_PUBLICACAO'!$B$7:$B$80,A55))</x:f>
      </x:c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4"/>
      <x:c r="P56" s="34"/>
      <x:c r="Q56" s="30"/>
      <x:c r="R56" s="30"/>
      <x:c r="S56" s="30" t="str">
        <x:f>IF(A56="","",COUNTIF('04_MAPA_ARGUMENTOS'!$B$7:$B$80,A56))</x:f>
      </x:c>
      <x:c r="T56" s="30" t="str">
        <x:f>IF(A56="","",COUNTIF('05_EVIDENCIAS_FONTES'!$B$7:$B$80,A56))</x:f>
      </x:c>
      <x:c r="U56" s="30" t="str">
        <x:f>IF(A56="","",COUNTIF('07_ATIVOS_DERIVADOS'!$B$7:$B$80,A56))</x:f>
      </x:c>
      <x:c r="V56" s="30" t="str">
        <x:f>IF(A56="","",COUNTIF('14_CALENDARIO_PUBLICACAO'!$B$7:$B$80,A56))</x:f>
      </x:c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4"/>
      <x:c r="P57" s="34"/>
      <x:c r="Q57" s="30"/>
      <x:c r="R57" s="30"/>
      <x:c r="S57" s="30" t="str">
        <x:f>IF(A57="","",COUNTIF('04_MAPA_ARGUMENTOS'!$B$7:$B$80,A57))</x:f>
      </x:c>
      <x:c r="T57" s="30" t="str">
        <x:f>IF(A57="","",COUNTIF('05_EVIDENCIAS_FONTES'!$B$7:$B$80,A57))</x:f>
      </x:c>
      <x:c r="U57" s="30" t="str">
        <x:f>IF(A57="","",COUNTIF('07_ATIVOS_DERIVADOS'!$B$7:$B$80,A57))</x:f>
      </x:c>
      <x:c r="V57" s="30" t="str">
        <x:f>IF(A57="","",COUNTIF('14_CALENDARIO_PUBLICACAO'!$B$7:$B$80,A57))</x:f>
      </x:c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4"/>
      <x:c r="P58" s="34"/>
      <x:c r="Q58" s="30"/>
      <x:c r="R58" s="30"/>
      <x:c r="S58" s="30" t="str">
        <x:f>IF(A58="","",COUNTIF('04_MAPA_ARGUMENTOS'!$B$7:$B$80,A58))</x:f>
      </x:c>
      <x:c r="T58" s="30" t="str">
        <x:f>IF(A58="","",COUNTIF('05_EVIDENCIAS_FONTES'!$B$7:$B$80,A58))</x:f>
      </x:c>
      <x:c r="U58" s="30" t="str">
        <x:f>IF(A58="","",COUNTIF('07_ATIVOS_DERIVADOS'!$B$7:$B$80,A58))</x:f>
      </x:c>
      <x:c r="V58" s="30" t="str">
        <x:f>IF(A58="","",COUNTIF('14_CALENDARIO_PUBLICACAO'!$B$7:$B$80,A58))</x:f>
      </x:c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4"/>
      <x:c r="P59" s="34"/>
      <x:c r="Q59" s="30"/>
      <x:c r="R59" s="30"/>
      <x:c r="S59" s="30" t="str">
        <x:f>IF(A59="","",COUNTIF('04_MAPA_ARGUMENTOS'!$B$7:$B$80,A59))</x:f>
      </x:c>
      <x:c r="T59" s="30" t="str">
        <x:f>IF(A59="","",COUNTIF('05_EVIDENCIAS_FONTES'!$B$7:$B$80,A59))</x:f>
      </x:c>
      <x:c r="U59" s="30" t="str">
        <x:f>IF(A59="","",COUNTIF('07_ATIVOS_DERIVADOS'!$B$7:$B$80,A59))</x:f>
      </x:c>
      <x:c r="V59" s="30" t="str">
        <x:f>IF(A59="","",COUNTIF('14_CALENDARIO_PUBLICACAO'!$B$7:$B$80,A59))</x:f>
      </x:c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4"/>
      <x:c r="P60" s="34"/>
      <x:c r="Q60" s="30"/>
      <x:c r="R60" s="30"/>
      <x:c r="S60" s="30" t="str">
        <x:f>IF(A60="","",COUNTIF('04_MAPA_ARGUMENTOS'!$B$7:$B$80,A60))</x:f>
      </x:c>
      <x:c r="T60" s="30" t="str">
        <x:f>IF(A60="","",COUNTIF('05_EVIDENCIAS_FONTES'!$B$7:$B$80,A60))</x:f>
      </x:c>
      <x:c r="U60" s="30" t="str">
        <x:f>IF(A60="","",COUNTIF('07_ATIVOS_DERIVADOS'!$B$7:$B$80,A60))</x:f>
      </x:c>
      <x:c r="V60" s="30" t="str">
        <x:f>IF(A60="","",COUNTIF('14_CALENDARIO_PUBLICACAO'!$B$7:$B$80,A60))</x:f>
      </x:c>
    </x:row>
  </x:sheetData>
  <x:mergeCells>
    <x:mergeCell ref="A1:H2"/>
    <x:mergeCell ref="A3:H3"/>
  </x:mergeCells>
  <x:conditionalFormatting sqref="M7:M60">
    <x:cfRule type="expression" dxfId="0" priority="1">
      <x:formula>M7="ACEITO"</x:formula>
    </x:cfRule>
    <x:cfRule type="expression" dxfId="1" priority="2">
      <x:formula>M7="PUBLICADO"</x:formula>
    </x:cfRule>
    <x:cfRule type="expression" dxfId="2" priority="3">
      <x:formula>M7="EM PRODUÇÃO"</x:formula>
    </x:cfRule>
    <x:cfRule type="expression" dxfId="3" priority="4">
      <x:formula>M7="ARGUMENTAÇÃO"</x:formula>
    </x:cfRule>
    <x:cfRule type="expression" dxfId="4" priority="5">
      <x:formula>M7="PESQUISA"</x:formula>
    </x:cfRule>
    <x:cfRule type="expression" dxfId="5" priority="6">
      <x:formula>M7="EM REVISÃO"</x:formula>
    </x:cfRule>
    <x:cfRule type="expression" dxfId="6" priority="7">
      <x:formula>M7="EM RISCO"</x:formula>
    </x:cfRule>
    <x:cfRule type="expression" dxfId="7" priority="8">
      <x:formula>M7="BLOQUEADO"</x:formula>
    </x:cfRule>
    <x:cfRule type="expression" dxfId="8" priority="9">
      <x:formula>M7="RASCUNHO"</x:formula>
    </x:cfRule>
    <x:cfRule type="expression" dxfId="9" priority="10">
      <x:formula>M7="PLANEJADO"</x:formula>
    </x:cfRule>
    <x:cfRule type="expression" dxfId="10" priority="11">
      <x:formula>M7="TRIAGEM"</x:formula>
    </x:cfRule>
  </x:conditionalFormatting>
  <x:dataValidations count="4">
    <x:dataValidation type="list" sqref="D7:D60">
      <x:formula1>'19_CONFIG_LISTAS'!$C$7:$C$16</x:formula1>
    </x:dataValidation>
    <x:dataValidation type="list" sqref="E7:E60">
      <x:formula1>'18_TAXONOMIA'!$B$7:$B$14</x:formula1>
    </x:dataValidation>
    <x:dataValidation type="list" sqref="L7:L60">
      <x:formula1>'19_CONFIG_LISTAS'!$B$7:$B$10</x:formula1>
    </x:dataValidation>
    <x:dataValidation type="list" sqref="M7:M60">
      <x:formula1>'19_CONFIG_LISTAS'!$A$7:$A$23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30" hidden="0" customWidth="1"/>
    <x:col min="5" max="5" width="36" hidden="0" customWidth="1"/>
    <x:col min="6" max="6" width="48" hidden="0" customWidth="1"/>
    <x:col min="7" max="7" width="48" hidden="0" customWidth="1"/>
    <x:col min="8" max="8" width="30" hidden="0" customWidth="1"/>
    <x:col min="9" max="9" width="40" hidden="0" customWidth="1"/>
    <x:col min="10" max="10" width="42" hidden="0" customWidth="1"/>
    <x:col min="11" max="11" width="34" hidden="0" customWidth="1"/>
    <x:col min="12" max="12" width="34" hidden="0" customWidth="1"/>
    <x:col min="13" max="13" width="30" hidden="0" customWidth="1"/>
    <x:col min="14" max="14" width="34" hidden="0" customWidth="1"/>
    <x:col min="15" max="15" width="24" hidden="0" customWidth="1"/>
    <x:col min="16" max="16" width="20" hidden="0" customWidth="1"/>
  </x:cols>
  <x:sheetData>
    <x:row r="1">
      <x:c r="A1" s="4" t="str">
        <x:v>BRIEF EDITORIAL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Objetivo, público, problema, promessa, tese, prova, limites e derivados.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Content_ID</x:v>
      </x:c>
      <x:c r="B6" s="23" t="str">
        <x:v>Título</x:v>
      </x:c>
      <x:c r="C6" s="23" t="str">
        <x:v>Rota</x:v>
      </x:c>
      <x:c r="D6" s="23" t="str">
        <x:v>Objetivo</x:v>
      </x:c>
      <x:c r="E6" s="23" t="str">
        <x:v>Audiência primária</x:v>
      </x:c>
      <x:c r="F6" s="23" t="str">
        <x:v>Problema do leitor</x:v>
      </x:c>
      <x:c r="G6" s="23" t="str">
        <x:v>Pergunta central</x:v>
      </x:c>
      <x:c r="H6" s="23" t="str">
        <x:v>Promessa</x:v>
      </x:c>
      <x:c r="I6" s="23" t="str">
        <x:v>Tese</x:v>
      </x:c>
      <x:c r="J6" s="23" t="str">
        <x:v>O que precisa provar</x:v>
      </x:c>
      <x:c r="K6" s="23" t="str">
        <x:v>Não confundir com</x:v>
      </x:c>
      <x:c r="L6" s="23" t="str">
        <x:v>Limites / cautelas</x:v>
      </x:c>
      <x:c r="M6" s="23" t="str">
        <x:v>CTA principal</x:v>
      </x:c>
      <x:c r="N6" s="23" t="str">
        <x:v>Formatos derivados desejados</x:v>
      </x:c>
      <x:c r="O6" s="23" t="str">
        <x:v>Owner</x:v>
      </x:c>
      <x:c r="P6" s="23" t="str">
        <x:v>Status do brief</x:v>
      </x:c>
    </x:row>
    <x:row r="7">
      <x:c r="A7" s="30" t="str">
        <x:v>CNT-RC-0001</x:v>
      </x:c>
      <x:c r="B7" s="30" t="str">
        <x:v>O que é Risco Cognitivo?</x:v>
      </x:c>
      <x:c r="C7" s="30" t="str">
        <x:v>Risco Cognitivo</x:v>
      </x:c>
      <x:c r="D7" s="30" t="str">
        <x:v>Definir fenômeno e fronteiras</x:v>
      </x:c>
      <x:c r="E7" s="30" t="str">
        <x:v>Profissionais interessados em cognição, decisão e trabalho</x:v>
      </x:c>
      <x:c r="F7" s="30" t="str">
        <x:v>Erros humanos são analisados só depois que acontecem.</x:v>
      </x:c>
      <x:c r="G7" s="30" t="str">
        <x:v>O que é risco cognitivo?</x:v>
      </x:c>
      <x:c r="H7" s="30" t="str">
        <x:v>Entender o conceito e diferenciá-lo de erro, diagnóstico e distração.</x:v>
      </x:c>
      <x:c r="I7" s="30" t="str">
        <x:v>A cognição pode ser fonte, amplificadora ou mediadora de risco.</x:v>
      </x:c>
      <x:c r="J7" s="30" t="str">
        <x:v>Cognição influencia desempenho e decisão; risco existe antes do evento.</x:v>
      </x:c>
      <x:c r="K7" s="30" t="str">
        <x:v>erro; diagnóstico; baixa inteligência; distração; risco psicossocial</x:v>
      </x:c>
      <x:c r="L7" s="30" t="str">
        <x:v>Não apresentar definição interna como consenso científico.</x:v>
      </x:c>
      <x:c r="M7" s="30" t="str">
        <x:v>Fatores de Risco Cognitivo</x:v>
      </x:c>
      <x:c r="N7" s="30" t="str">
        <x:v>Shorts; carrosséis; LinkedIn; newsletter; diagramas</x:v>
      </x:c>
      <x:c r="O7" s="30" t="str">
        <x:v>Não determinado</x:v>
      </x:c>
      <x:c r="P7" s="30" t="str">
        <x:v>EM PRODUÇÃO</x:v>
      </x:c>
    </x:row>
    <x:row r="8">
      <x:c r="A8" s="30" t="str">
        <x:v>CNT-RC-0002</x:v>
      </x:c>
      <x:c r="B8" s="30" t="str">
        <x:v>Fatores de Risco Cognitivo</x:v>
      </x:c>
      <x:c r="C8" s="30" t="str">
        <x:v>Fatores de Risco Cognitivo</x:v>
      </x:c>
      <x:c r="D8" s="30" t="str">
        <x:v>Explicar antecedentes</x:v>
      </x:c>
      <x:c r="E8" s="30" t="str">
        <x:v>Profissionais de gestão, trabalho e decisão</x:v>
      </x:c>
      <x:c r="F8" s="30" t="str">
        <x:v>Risco cognitivo não surge do nada.</x:v>
      </x:c>
      <x:c r="G8" s="30" t="str">
        <x:v>O que aumenta sua probabilidade?</x:v>
      </x:c>
      <x:c r="H8" s="30" t="str">
        <x:v>Reconhecer classes de fatores sem determinismo.</x:v>
      </x:c>
      <x:c r="I8" s="30" t="str">
        <x:v>Fatores individuais, de estado, ambientais, organizacionais e tecnológicos podem elevar probabilidade.</x:v>
      </x:c>
      <x:c r="J8" s="30" t="str">
        <x:v>Literatura por classe; distinção entre fator e evento.</x:v>
      </x:c>
      <x:c r="K8" s="30" t="str">
        <x:v>evento; destino; culpa individual</x:v>
      </x:c>
      <x:c r="L8" s="30" t="str">
        <x:v>Não patologizar diferenças individuais.</x:v>
      </x:c>
      <x:c r="M8" s="30" t="str">
        <x:v>Exposição Cognitiva</x:v>
      </x:c>
      <x:c r="N8" s="30" t="str">
        <x:v>Shorts; carrosséis; LinkedIn; newsletter</x:v>
      </x:c>
      <x:c r="O8" s="30" t="str">
        <x:v>Não determinado</x:v>
      </x:c>
      <x:c r="P8" s="30" t="str">
        <x:v>EM PRODUÇÃO</x:v>
      </x:c>
    </x:row>
    <x:row r="9">
      <x:c r="A9" s="30" t="str">
        <x:v>CNT-RC-0003</x:v>
      </x:c>
      <x:c r="B9" s="30" t="str">
        <x:v>Exposição Cognitiva</x:v>
      </x:c>
      <x:c r="C9" s="30" t="str">
        <x:v>Exposição Cognitiva</x:v>
      </x:c>
      <x:c r="D9" s="30" t="str">
        <x:v>Explicar condição de exposição</x:v>
      </x:c>
      <x:c r="E9" s="30" t="str">
        <x:v>Profissionais de risco, design do trabalho e gestão</x:v>
      </x:c>
      <x:c r="F9" s="30" t="str">
        <x:v>Presença de fator não equivale a risco material igual.</x:v>
      </x:c>
      <x:c r="G9" s="30" t="str">
        <x:v>Quando um fator passa a importar?</x:v>
      </x:c>
      <x:c r="H9" s="30" t="str">
        <x:v>Entender intensidade, frequência, duração, criticidade e contexto.</x:v>
      </x:c>
      <x:c r="I9" s="30" t="str">
        <x:v>Exposição descreve quanto fatores incidem sobre pessoa, tarefa ou sistema.</x:v>
      </x:c>
      <x:c r="J9" s="30" t="str">
        <x:v>Prior art sobre exposição; validade das dimensões como heurística.</x:v>
      </x:c>
      <x:c r="K9" s="30" t="str">
        <x:v>fator isolado; diagnóstico individual</x:v>
      </x:c>
      <x:c r="L9" s="30" t="str">
        <x:v>A fórmula é heurística, não equação científica validada.</x:v>
      </x:c>
      <x:c r="M9" s="30" t="str">
        <x:v>Eventos de Risco Cognitivo</x:v>
      </x:c>
      <x:c r="N9" s="30" t="str">
        <x:v>Shorts; carrosséis; LinkedIn; newsletter</x:v>
      </x:c>
      <x:c r="O9" s="30" t="str">
        <x:v>Não determinado</x:v>
      </x:c>
      <x:c r="P9" s="30" t="str">
        <x:v>EM PRODUÇÃO</x:v>
      </x:c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/>
      <x:c r="L10" s="30"/>
      <x:c r="M10" s="30"/>
      <x:c r="N10" s="30"/>
      <x:c r="O10" s="30"/>
      <x:c r="P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/>
      <x:c r="L11" s="30"/>
      <x:c r="M11" s="30"/>
      <x:c r="N11" s="30"/>
      <x:c r="O11" s="30"/>
      <x:c r="P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/>
      <x:c r="L12" s="30"/>
      <x:c r="M12" s="30"/>
      <x:c r="N12" s="30"/>
      <x:c r="O12" s="30"/>
      <x:c r="P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0"/>
      <x:c r="M13" s="30"/>
      <x:c r="N13" s="30"/>
      <x:c r="O13" s="30"/>
      <x:c r="P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  <x:c r="O14" s="30"/>
      <x:c r="P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  <x:c r="O15" s="30"/>
      <x:c r="P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  <x:c r="O16" s="30"/>
      <x:c r="P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  <x:c r="O17" s="30"/>
      <x:c r="P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  <x:c r="O18" s="30"/>
      <x:c r="P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  <x:c r="O19" s="30"/>
      <x:c r="P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  <x:c r="O20" s="30"/>
      <x:c r="P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0"/>
      <x:c r="P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  <x:c r="O22" s="30"/>
      <x:c r="P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  <x:c r="O23" s="30"/>
      <x:c r="P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  <x:c r="O24" s="30"/>
      <x:c r="P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  <x:c r="O25" s="30"/>
      <x:c r="P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  <x:c r="O26" s="30"/>
      <x:c r="P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  <x:c r="O27" s="30"/>
      <x:c r="P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  <x:c r="O28" s="30"/>
      <x:c r="P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  <x:c r="O29" s="30"/>
      <x:c r="P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  <x:c r="O30" s="30"/>
      <x:c r="P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  <x:c r="O31" s="30"/>
      <x:c r="P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  <x:c r="O32" s="30"/>
      <x:c r="P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  <x:c r="O33" s="30"/>
      <x:c r="P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  <x:c r="O34" s="30"/>
      <x:c r="P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  <x:c r="O35" s="30"/>
      <x:c r="P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  <x:c r="O36" s="30"/>
      <x:c r="P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  <x:c r="O37" s="30"/>
      <x:c r="P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  <x:c r="O38" s="30"/>
      <x:c r="P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  <x:c r="O39" s="30"/>
      <x:c r="P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  <x:c r="O40" s="30"/>
      <x:c r="P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  <x:c r="O41" s="30"/>
      <x:c r="P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  <x:c r="O42" s="30"/>
      <x:c r="P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  <x:c r="O43" s="30"/>
      <x:c r="P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  <x:c r="O44" s="30"/>
      <x:c r="P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  <x:c r="O45" s="30"/>
      <x:c r="P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  <x:c r="O46" s="30"/>
      <x:c r="P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  <x:c r="O47" s="30"/>
      <x:c r="P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  <x:c r="O48" s="30"/>
      <x:c r="P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  <x:c r="O49" s="30"/>
      <x:c r="P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  <x:c r="O50" s="30"/>
      <x:c r="P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  <x:c r="O51" s="30"/>
      <x:c r="P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  <x:c r="O52" s="30"/>
      <x:c r="P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  <x:c r="O53" s="30"/>
      <x:c r="P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  <x:c r="O54" s="30"/>
      <x:c r="P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  <x:c r="O55" s="30"/>
      <x:c r="P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  <x:c r="O56" s="30"/>
      <x:c r="P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  <x:c r="O57" s="30"/>
      <x:c r="P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  <x:c r="O58" s="30"/>
      <x:c r="P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  <x:c r="O59" s="30"/>
      <x:c r="P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  <x:c r="O60" s="30"/>
      <x:c r="P60" s="30"/>
    </x:row>
  </x:sheetData>
  <x:mergeCells>
    <x:mergeCell ref="A1:H2"/>
    <x:mergeCell ref="A3:H3"/>
  </x:mergeCells>
  <x:conditionalFormatting sqref="P7:P60">
    <x:cfRule type="expression" dxfId="11" priority="1">
      <x:formula>P7="ACEITO"</x:formula>
    </x:cfRule>
    <x:cfRule type="expression" dxfId="12" priority="2">
      <x:formula>P7="PUBLICADO"</x:formula>
    </x:cfRule>
    <x:cfRule type="expression" dxfId="13" priority="3">
      <x:formula>P7="EM PRODUÇÃO"</x:formula>
    </x:cfRule>
    <x:cfRule type="expression" dxfId="14" priority="4">
      <x:formula>P7="ARGUMENTAÇÃO"</x:formula>
    </x:cfRule>
    <x:cfRule type="expression" dxfId="15" priority="5">
      <x:formula>P7="PESQUISA"</x:formula>
    </x:cfRule>
    <x:cfRule type="expression" dxfId="16" priority="6">
      <x:formula>P7="EM REVISÃO"</x:formula>
    </x:cfRule>
    <x:cfRule type="expression" dxfId="17" priority="7">
      <x:formula>P7="EM RISCO"</x:formula>
    </x:cfRule>
    <x:cfRule type="expression" dxfId="18" priority="8">
      <x:formula>P7="BLOQUEADO"</x:formula>
    </x:cfRule>
    <x:cfRule type="expression" dxfId="19" priority="9">
      <x:formula>P7="RASCUNHO"</x:formula>
    </x:cfRule>
    <x:cfRule type="expression" dxfId="20" priority="10">
      <x:formula>P7="PLANEJADO"</x:formula>
    </x:cfRule>
    <x:cfRule type="expression" dxfId="21" priority="11">
      <x:formula>P7="TRIAGEM"</x:formula>
    </x:cfRule>
  </x:conditionalFormatting>
  <x:dataValidations count="2">
    <x:dataValidation type="list" sqref="C7:C60">
      <x:formula1>'18_TAXONOMIA'!$B$7:$B$14</x:formula1>
    </x:dataValidation>
    <x:dataValidation type="list" sqref="P7:P60">
      <x:formula1>'19_CONFIG_LISTAS'!$A$7:$A$23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0" hidden="0" customWidth="1"/>
    <x:col min="4" max="4" width="30" hidden="0" customWidth="1"/>
    <x:col min="5" max="5" width="52" hidden="0" customWidth="1"/>
    <x:col min="6" max="6" width="44" hidden="0" customWidth="1"/>
    <x:col min="7" max="7" width="32" hidden="0" customWidth="1"/>
    <x:col min="8" max="8" width="40" hidden="0" customWidth="1"/>
    <x:col min="9" max="9" width="34" hidden="0" customWidth="1"/>
    <x:col min="10" max="10" width="34" hidden="0" customWidth="1"/>
    <x:col min="11" max="11" width="18" hidden="0" customWidth="1"/>
    <x:col min="12" max="12" width="18" hidden="0" customWidth="1"/>
    <x:col min="13" max="13" width="30" hidden="0" customWidth="1"/>
    <x:col min="14" max="14" width="30" hidden="0" customWidth="1"/>
  </x:cols>
  <x:sheetData>
    <x:row r="1">
      <x:c r="A1" s="4" t="str">
        <x:v>MAPA DE ARGUMENTOS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Claim, razão, evidência, exemplo, contraponto, limite e possível derivado.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Argument_ID</x:v>
      </x:c>
      <x:c r="B6" s="23" t="str">
        <x:v>Content_ID</x:v>
      </x:c>
      <x:c r="C6" s="23" t="str">
        <x:v>Ordem</x:v>
      </x:c>
      <x:c r="D6" s="23" t="str">
        <x:v>Seção / função</x:v>
      </x:c>
      <x:c r="E6" s="23" t="str">
        <x:v>Claim</x:v>
      </x:c>
      <x:c r="F6" s="23" t="str">
        <x:v>Razão / mecanismo</x:v>
      </x:c>
      <x:c r="G6" s="23" t="str">
        <x:v>Evidence_ID</x:v>
      </x:c>
      <x:c r="H6" s="23" t="str">
        <x:v>Exemplo</x:v>
      </x:c>
      <x:c r="I6" s="23" t="str">
        <x:v>Contraponto / objeção</x:v>
      </x:c>
      <x:c r="J6" s="23" t="str">
        <x:v>Limite / cautela</x:v>
      </x:c>
      <x:c r="K6" s="23" t="str">
        <x:v>Classe</x:v>
      </x:c>
      <x:c r="L6" s="23" t="str">
        <x:v>Status</x:v>
      </x:c>
      <x:c r="M6" s="23" t="str">
        <x:v>Peça curta possível</x:v>
      </x:c>
      <x:c r="N6" s="23" t="str">
        <x:v>Visual possível</x:v>
      </x:c>
    </x:row>
    <x:row r="7">
      <x:c r="A7" s="30" t="str">
        <x:v>ARG-RC-0001</x:v>
      </x:c>
      <x:c r="B7" s="30" t="str">
        <x:v>CNT-RC-0001</x:v>
      </x:c>
      <x:c r="C7" s="30" t="n">
        <x:v>1</x:v>
      </x:c>
      <x:c r="D7" s="30" t="str">
        <x:v>Problema</x:v>
      </x:c>
      <x:c r="E7" s="30" t="str">
        <x:v>Parte dos riscos organizacionais é influenciada por processos cognitivos.</x:v>
      </x:c>
      <x:c r="F7" s="30" t="str">
        <x:v>Atenção, memória, fadiga e julgamento participam de decisões e ações.</x:v>
      </x:c>
      <x:c r="G7" s="30" t="str">
        <x:v>EVD-RC-0001; EVD-RC-0002; EVD-RC-0003</x:v>
      </x:c>
      <x:c r="H7" s="30" t="str">
        <x:v>Erro de decisão sob fadiga</x:v>
      </x:c>
      <x:c r="I7" s="30" t="str"/>
      <x:c r="J7" s="30" t="str">
        <x:v>Não afirmar causalidade universal.</x:v>
      </x:c>
      <x:c r="K7" s="30" t="str">
        <x:v>E · Inferido</x:v>
      </x:c>
      <x:c r="L7" s="30" t="str">
        <x:v>PESQUISA</x:v>
      </x:c>
      <x:c r="M7" s="30" t="str">
        <x:v>Cognição pode participar da formação do risco.</x:v>
      </x:c>
      <x:c r="N7" s="30" t="str">
        <x:v>Mapa cognição → decisão → consequência</x:v>
      </x:c>
    </x:row>
    <x:row r="8">
      <x:c r="A8" s="30" t="str">
        <x:v>ARG-RC-0002</x:v>
      </x:c>
      <x:c r="B8" s="30" t="str">
        <x:v>CNT-RC-0001</x:v>
      </x:c>
      <x:c r="C8" s="30" t="n">
        <x:v>2</x:v>
      </x:c>
      <x:c r="D8" s="30" t="str">
        <x:v>Distinção</x:v>
      </x:c>
      <x:c r="E8" s="30" t="str">
        <x:v>Risco cognitivo não é o mesmo que erro.</x:v>
      </x:c>
      <x:c r="F8" s="30" t="str">
        <x:v>Risco descreve possibilidade anterior; erro é ocorrência.</x:v>
      </x:c>
      <x:c r="G8" s="30" t="str"/>
      <x:c r="H8" s="30" t="str"/>
      <x:c r="I8" s="30" t="str"/>
      <x:c r="J8" s="30" t="str">
        <x:v>Definição operacional do framework.</x:v>
      </x:c>
      <x:c r="K8" s="30" t="str">
        <x:v>D · Interno</x:v>
      </x:c>
      <x:c r="L8" s="30" t="str">
        <x:v>ARGUMENTAÇÃO</x:v>
      </x:c>
      <x:c r="M8" s="30" t="str">
        <x:v>O erro acontece. O risco existe antes.</x:v>
      </x:c>
      <x:c r="N8" s="30" t="str">
        <x:v>Linha do tempo risco → evento</x:v>
      </x:c>
    </x:row>
    <x:row r="9">
      <x:c r="A9" s="30" t="str">
        <x:v>ARG-RC-0003</x:v>
      </x:c>
      <x:c r="B9" s="30" t="str">
        <x:v>CNT-RC-0001</x:v>
      </x:c>
      <x:c r="C9" s="30" t="n">
        <x:v>3</x:v>
      </x:c>
      <x:c r="D9" s="30" t="str">
        <x:v>Definição</x:v>
      </x:c>
      <x:c r="E9" s="30" t="str">
        <x:v>Risco cognitivo é a possibilidade de aspectos da cognição contribuírem para resultados indesejados.</x:v>
      </x:c>
      <x:c r="F9" s="30" t="str">
        <x:v>Integra processo cognitivo e lógica de risco.</x:v>
      </x:c>
      <x:c r="G9" s="30" t="str"/>
      <x:c r="H9" s="30" t="str"/>
      <x:c r="I9" s="30" t="str"/>
      <x:c r="J9" s="30" t="str">
        <x:v>Definição proposta, não consenso.</x:v>
      </x:c>
      <x:c r="K9" s="30" t="str">
        <x:v>E · Inferido</x:v>
      </x:c>
      <x:c r="L9" s="30" t="str">
        <x:v>ARGUMENTAÇÃO</x:v>
      </x:c>
      <x:c r="M9" s="30" t="str">
        <x:v>Uma definição operacional de risco cognitivo.</x:v>
      </x:c>
      <x:c r="N9" s="30" t="str">
        <x:v>Card de definição</x:v>
      </x:c>
    </x:row>
    <x:row r="10">
      <x:c r="A10" s="30" t="str">
        <x:v>ARG-RC-0004</x:v>
      </x:c>
      <x:c r="B10" s="30" t="str">
        <x:v>CNT-RC-0002</x:v>
      </x:c>
      <x:c r="C10" s="30" t="n">
        <x:v>1</x:v>
      </x:c>
      <x:c r="D10" s="30" t="str">
        <x:v>Definição</x:v>
      </x:c>
      <x:c r="E10" s="30" t="str">
        <x:v>Fator de risco aumenta probabilidade; não determina o evento.</x:v>
      </x:c>
      <x:c r="F10" s="30" t="str">
        <x:v>Lógica probabilística evita determinismo.</x:v>
      </x:c>
      <x:c r="G10" s="30" t="str"/>
      <x:c r="H10" s="30" t="str"/>
      <x:c r="I10" s="30" t="str"/>
      <x:c r="J10" s="30" t="str">
        <x:v>Necessita sustentação conceitual.</x:v>
      </x:c>
      <x:c r="K10" s="30" t="str">
        <x:v>E · Inferido</x:v>
      </x:c>
      <x:c r="L10" s="30" t="str">
        <x:v>PESQUISA</x:v>
      </x:c>
      <x:c r="M10" s="30" t="str">
        <x:v>Fator de risco não é destino.</x:v>
      </x:c>
      <x:c r="N10" s="30" t="str">
        <x:v>Fator ≠ evento</x:v>
      </x:c>
    </x:row>
    <x:row r="11">
      <x:c r="A11" s="30" t="str">
        <x:v>ARG-RC-0005</x:v>
      </x:c>
      <x:c r="B11" s="30" t="str">
        <x:v>CNT-RC-0002</x:v>
      </x:c>
      <x:c r="C11" s="30" t="n">
        <x:v>2</x:v>
      </x:c>
      <x:c r="D11" s="30" t="str">
        <x:v>Taxonomia</x:v>
      </x:c>
      <x:c r="E11" s="30" t="str">
        <x:v>Fatores podem ser individuais, de estado, ambientais, organizacionais e tecnológicos.</x:v>
      </x:c>
      <x:c r="F11" s="30" t="str">
        <x:v>As classes ajudam a distribuir responsabilidade e intervenção.</x:v>
      </x:c>
      <x:c r="G11" s="30" t="str">
        <x:v>EVD-RC-0004; EVD-RC-0005</x:v>
      </x:c>
      <x:c r="H11" s="30" t="str"/>
      <x:c r="I11" s="30" t="str"/>
      <x:c r="J11" s="30" t="str">
        <x:v>Taxonomia interna a validar contra literatura.</x:v>
      </x:c>
      <x:c r="K11" s="30" t="str">
        <x:v>D · Interno</x:v>
      </x:c>
      <x:c r="L11" s="30" t="str">
        <x:v>ARGUMENTAÇÃO</x:v>
      </x:c>
      <x:c r="M11" s="30" t="str">
        <x:v>O risco não está só na pessoa.</x:v>
      </x:c>
      <x:c r="N11" s="30" t="str">
        <x:v>Diagrama 5 classes</x:v>
      </x:c>
    </x:row>
    <x:row r="12">
      <x:c r="A12" s="30" t="str">
        <x:v>ARG-RC-0006</x:v>
      </x:c>
      <x:c r="B12" s="30" t="str">
        <x:v>CNT-RC-0003</x:v>
      </x:c>
      <x:c r="C12" s="30" t="n">
        <x:v>1</x:v>
      </x:c>
      <x:c r="D12" s="30" t="str">
        <x:v>Problema</x:v>
      </x:c>
      <x:c r="E12" s="30" t="str">
        <x:v>Ter um fator presente não significa o mesmo nível de risco em todo contexto.</x:v>
      </x:c>
      <x:c r="F12" s="30" t="str">
        <x:v>A exposição depende de dose e criticidade contextual.</x:v>
      </x:c>
      <x:c r="G12" s="30" t="str"/>
      <x:c r="H12" s="30" t="str"/>
      <x:c r="I12" s="30" t="str"/>
      <x:c r="J12" s="30" t="str">
        <x:v>Necessita prior art sobre exposure.</x:v>
      </x:c>
      <x:c r="K12" s="30" t="str">
        <x:v>E · Inferido</x:v>
      </x:c>
      <x:c r="L12" s="30" t="str">
        <x:v>PESQUISA</x:v>
      </x:c>
      <x:c r="M12" s="30" t="str">
        <x:v>O mesmo fator pode produzir exposições diferentes.</x:v>
      </x:c>
      <x:c r="N12" s="30" t="str">
        <x:v>Dois cenários comparativos</x:v>
      </x:c>
    </x:row>
    <x:row r="13">
      <x:c r="A13" s="30" t="str">
        <x:v>ARG-RC-0007</x:v>
      </x:c>
      <x:c r="B13" s="30" t="str">
        <x:v>CNT-RC-0003</x:v>
      </x:c>
      <x:c r="C13" s="30" t="n">
        <x:v>2</x:v>
      </x:c>
      <x:c r="D13" s="30" t="str">
        <x:v>Heurística</x:v>
      </x:c>
      <x:c r="E13" s="30" t="str">
        <x:v>Exposição pode ser pensada por intensidade, frequência, duração e criticidade.</x:v>
      </x:c>
      <x:c r="F13" s="30" t="str">
        <x:v>As dimensões tornam a condição observável.</x:v>
      </x:c>
      <x:c r="G13" s="30" t="str"/>
      <x:c r="H13" s="30" t="str"/>
      <x:c r="I13" s="30" t="str"/>
      <x:c r="J13" s="30" t="str">
        <x:v>Não apresentar como fórmula validada.</x:v>
      </x:c>
      <x:c r="K13" s="30" t="str">
        <x:v>E · Inferido</x:v>
      </x:c>
      <x:c r="L13" s="30" t="str">
        <x:v>ARGUMENTAÇÃO</x:v>
      </x:c>
      <x:c r="M13" s="30" t="str">
        <x:v>Quatro dimensões da exposição cognitiva.</x:v>
      </x:c>
      <x:c r="N13" s="30" t="str">
        <x:v>Matriz / cards</x:v>
      </x:c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0"/>
      <x:c r="M14" s="30"/>
      <x:c r="N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0"/>
      <x:c r="M15" s="30"/>
      <x:c r="N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0"/>
      <x:c r="M16" s="30"/>
      <x:c r="N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0"/>
      <x:c r="M17" s="30"/>
      <x:c r="N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0"/>
      <x:c r="M18" s="30"/>
      <x:c r="N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0"/>
      <x:c r="M19" s="30"/>
      <x:c r="N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0"/>
      <x:c r="M20" s="30"/>
      <x:c r="N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0"/>
      <x:c r="M22" s="30"/>
      <x:c r="N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0"/>
      <x:c r="M23" s="30"/>
      <x:c r="N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0"/>
      <x:c r="M24" s="30"/>
      <x:c r="N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0"/>
      <x:c r="M25" s="30"/>
      <x:c r="N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0"/>
      <x:c r="M26" s="30"/>
      <x:c r="N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0"/>
      <x:c r="M27" s="30"/>
      <x:c r="N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0"/>
      <x:c r="M28" s="30"/>
      <x:c r="N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0"/>
      <x:c r="M29" s="30"/>
      <x:c r="N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0"/>
      <x:c r="M30" s="30"/>
      <x:c r="N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0"/>
      <x:c r="M31" s="30"/>
      <x:c r="N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0"/>
      <x:c r="M32" s="30"/>
      <x:c r="N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0"/>
      <x:c r="M33" s="30"/>
      <x:c r="N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0"/>
      <x:c r="M34" s="30"/>
      <x:c r="N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0"/>
      <x:c r="M35" s="30"/>
      <x:c r="N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0"/>
      <x:c r="M36" s="30"/>
      <x:c r="N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0"/>
      <x:c r="M37" s="30"/>
      <x:c r="N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0"/>
      <x:c r="M38" s="30"/>
      <x:c r="N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0"/>
      <x:c r="M39" s="30"/>
      <x:c r="N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0"/>
      <x:c r="M40" s="30"/>
      <x:c r="N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0"/>
      <x:c r="M41" s="30"/>
      <x:c r="N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0"/>
      <x:c r="M42" s="30"/>
      <x:c r="N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0"/>
      <x:c r="M43" s="30"/>
      <x:c r="N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0"/>
      <x:c r="M44" s="30"/>
      <x:c r="N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0"/>
      <x:c r="M45" s="30"/>
      <x:c r="N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0"/>
      <x:c r="M46" s="30"/>
      <x:c r="N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0"/>
      <x:c r="M47" s="30"/>
      <x:c r="N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0"/>
      <x:c r="M48" s="30"/>
      <x:c r="N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0"/>
      <x:c r="M49" s="30"/>
      <x:c r="N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0"/>
      <x:c r="M50" s="30"/>
      <x:c r="N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0"/>
      <x:c r="M51" s="30"/>
      <x:c r="N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0"/>
      <x:c r="M52" s="30"/>
      <x:c r="N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0"/>
      <x:c r="M53" s="30"/>
      <x:c r="N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0"/>
      <x:c r="M54" s="30"/>
      <x:c r="N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0"/>
      <x:c r="M55" s="30"/>
      <x:c r="N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0"/>
      <x:c r="M56" s="30"/>
      <x:c r="N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0"/>
      <x:c r="M57" s="30"/>
      <x:c r="N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0"/>
      <x:c r="M58" s="30"/>
      <x:c r="N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0"/>
      <x:c r="M59" s="30"/>
      <x:c r="N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0"/>
      <x:c r="M60" s="30"/>
      <x:c r="N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0"/>
      <x:c r="M61" s="30"/>
      <x:c r="N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0"/>
      <x:c r="M62" s="30"/>
      <x:c r="N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0"/>
      <x:c r="M63" s="30"/>
      <x:c r="N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0"/>
      <x:c r="M64" s="30"/>
      <x:c r="N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0"/>
      <x:c r="M65" s="30"/>
      <x:c r="N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0"/>
      <x:c r="M66" s="30"/>
      <x:c r="N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0"/>
      <x:c r="M67" s="30"/>
      <x:c r="N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0"/>
      <x:c r="M68" s="30"/>
      <x:c r="N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0"/>
      <x:c r="M69" s="30"/>
      <x:c r="N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0"/>
      <x:c r="M70" s="30"/>
      <x:c r="N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0"/>
      <x:c r="M71" s="30"/>
      <x:c r="N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0"/>
      <x:c r="M72" s="30"/>
      <x:c r="N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0"/>
      <x:c r="M73" s="30"/>
      <x:c r="N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0"/>
      <x:c r="M74" s="30"/>
      <x:c r="N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0"/>
      <x:c r="M75" s="30"/>
      <x:c r="N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0"/>
      <x:c r="M76" s="30"/>
      <x:c r="N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0"/>
      <x:c r="M77" s="30"/>
      <x:c r="N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0"/>
      <x:c r="M78" s="30"/>
      <x:c r="N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0"/>
      <x:c r="M79" s="30"/>
      <x:c r="N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0"/>
      <x:c r="M80" s="30"/>
      <x:c r="N80" s="30"/>
    </x:row>
  </x:sheetData>
  <x:mergeCells>
    <x:mergeCell ref="A1:H2"/>
    <x:mergeCell ref="A3:H3"/>
  </x:mergeCells>
  <x:conditionalFormatting sqref="L7:L80">
    <x:cfRule type="expression" dxfId="22" priority="1">
      <x:formula>L7="ACEITO"</x:formula>
    </x:cfRule>
    <x:cfRule type="expression" dxfId="23" priority="2">
      <x:formula>L7="PUBLICADO"</x:formula>
    </x:cfRule>
    <x:cfRule type="expression" dxfId="24" priority="3">
      <x:formula>L7="EM PRODUÇÃO"</x:formula>
    </x:cfRule>
    <x:cfRule type="expression" dxfId="25" priority="4">
      <x:formula>L7="ARGUMENTAÇÃO"</x:formula>
    </x:cfRule>
    <x:cfRule type="expression" dxfId="26" priority="5">
      <x:formula>L7="PESQUISA"</x:formula>
    </x:cfRule>
    <x:cfRule type="expression" dxfId="27" priority="6">
      <x:formula>L7="EM REVISÃO"</x:formula>
    </x:cfRule>
    <x:cfRule type="expression" dxfId="28" priority="7">
      <x:formula>L7="EM RISCO"</x:formula>
    </x:cfRule>
    <x:cfRule type="expression" dxfId="29" priority="8">
      <x:formula>L7="BLOQUEADO"</x:formula>
    </x:cfRule>
    <x:cfRule type="expression" dxfId="30" priority="9">
      <x:formula>L7="RASCUNHO"</x:formula>
    </x:cfRule>
    <x:cfRule type="expression" dxfId="31" priority="10">
      <x:formula>L7="PLANEJADO"</x:formula>
    </x:cfRule>
    <x:cfRule type="expression" dxfId="32" priority="11">
      <x:formula>L7="TRIAGEM"</x:formula>
    </x:cfRule>
  </x:conditionalFormatting>
  <x:dataValidations count="2">
    <x:dataValidation type="list" sqref="K7:K80">
      <x:formula1>'19_CONFIG_LISTAS'!$D$7:$D$11</x:formula1>
    </x:dataValidation>
    <x:dataValidation type="list" sqref="L7:L80">
      <x:formula1>'19_CONFIG_LISTAS'!$A$7:$A$23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0" hidden="0" customWidth="1"/>
    <x:col min="5" max="5" width="32" hidden="0" customWidth="1"/>
    <x:col min="6" max="6" width="14" hidden="0" customWidth="1"/>
    <x:col min="7" max="7" width="46" hidden="0" customWidth="1"/>
    <x:col min="8" max="8" width="22" hidden="0" customWidth="1"/>
    <x:col min="9" max="9" width="62" hidden="0" customWidth="1"/>
    <x:col min="10" max="10" width="46" hidden="0" customWidth="1"/>
    <x:col min="11" max="11" width="18" hidden="0" customWidth="1"/>
    <x:col min="12" max="12" width="18" hidden="0" customWidth="1"/>
    <x:col min="13" max="13" width="28" hidden="0" customWidth="1"/>
  </x:cols>
  <x:sheetData>
    <x:row r="1">
      <x:c r="A1" s="4" t="str">
        <x:v>EVIDÊNCIAS E FONTES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Fontes, prior art, URLs e claims sustentados.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Evidence_ID</x:v>
      </x:c>
      <x:c r="B6" s="23" t="str">
        <x:v>Content_ID</x:v>
      </x:c>
      <x:c r="C6" s="23" t="str">
        <x:v>Argument_ID</x:v>
      </x:c>
      <x:c r="D6" s="23" t="str">
        <x:v>Autor</x:v>
      </x:c>
      <x:c r="E6" s="23" t="str">
        <x:v>Instituição / periódico</x:v>
      </x:c>
      <x:c r="F6" s="23" t="str">
        <x:v>Data</x:v>
      </x:c>
      <x:c r="G6" s="23" t="str">
        <x:v>Título</x:v>
      </x:c>
      <x:c r="H6" s="23" t="str">
        <x:v>Tipo</x:v>
      </x:c>
      <x:c r="I6" s="23" t="str">
        <x:v>URL</x:v>
      </x:c>
      <x:c r="J6" s="23" t="str">
        <x:v>O que sustenta</x:v>
      </x:c>
      <x:c r="K6" s="23" t="str">
        <x:v>Classe</x:v>
      </x:c>
      <x:c r="L6" s="23" t="str">
        <x:v>Status</x:v>
      </x:c>
      <x:c r="M6" s="23" t="str">
        <x:v>Notas</x:v>
      </x:c>
    </x:row>
    <x:row r="7">
      <x:c r="A7" s="30" t="str">
        <x:v>EVD-RC-0001</x:v>
      </x:c>
      <x:c r="B7" s="30" t="str">
        <x:v>CNT-RC-0001</x:v>
      </x:c>
      <x:c r="C7" s="30" t="str">
        <x:v>ARG-RC-0001</x:v>
      </x:c>
      <x:c r="D7" s="30" t="str">
        <x:v>Sarah Gardner</x:v>
      </x:c>
      <x:c r="E7" s="30" t="str">
        <x:v>Association for Project Management</x:v>
      </x:c>
      <x:c r="F7" s="34" t="str">
        <x:v>2026-08-26</x:v>
      </x:c>
      <x:c r="G7" s="30" t="str">
        <x:v>Leading in an age of cognitive risk: What the AI era asks of project professionals</x:v>
      </x:c>
      <x:c r="H7" s="30" t="str">
        <x:v>Paper profissional</x:v>
      </x:c>
      <x:c r="I7" s="30" t="str">
        <x:v>https://www.apm.org.uk/blog/leading-in-an-age-of-cognitive-risk-what-the-ai-era-asks-of-project-professionals/</x:v>
      </x:c>
      <x:c r="J7" s="30" t="str">
        <x:v>Prior art explícito para cognitive risk em project management.</x:v>
      </x:c>
      <x:c r="K7" s="30" t="str">
        <x:v>C · Publicado</x:v>
      </x:c>
      <x:c r="L7" s="30" t="str">
        <x:v>VALIDADA</x:v>
      </x:c>
      <x:c r="M7" s="30" t="str">
        <x:v>Fonte profissional, não norma científica.</x:v>
      </x:c>
    </x:row>
    <x:row r="8">
      <x:c r="A8" s="30" t="str">
        <x:v>EVD-RC-0002</x:v>
      </x:c>
      <x:c r="B8" s="30" t="str">
        <x:v>CNT-RC-0001</x:v>
      </x:c>
      <x:c r="C8" s="30" t="str">
        <x:v>ARG-RC-0001</x:v>
      </x:c>
      <x:c r="D8" s="30" t="str">
        <x:v>Luis Branco</x:v>
      </x:c>
      <x:c r="E8" s="30" t="str">
        <x:v>ProjectManagement.com</x:v>
      </x:c>
      <x:c r="F8" s="34" t="str">
        <x:v>2026-04-08</x:v>
      </x:c>
      <x:c r="G8" s="30" t="str">
        <x:v>Beyond Habits: Designing Systems That Make Conscious Leadership Inevitable</x:v>
      </x:c>
      <x:c r="H8" s="30" t="str">
        <x:v>Paper profissional</x:v>
      </x:c>
      <x:c r="I8" s="30" t="str">
        <x:v>https://www.projectmanagement.com/blog-post/79779/beyond-habits--designing-systems-that-make-conscious-leadership-inevitable</x:v>
      </x:c>
      <x:c r="J8" s="30" t="str">
        <x:v>Uso explícito de Cognitive Risk Management; carga cognitiva e decision fatigue.</x:v>
      </x:c>
      <x:c r="K8" s="30" t="str">
        <x:v>C · Publicado</x:v>
      </x:c>
      <x:c r="L8" s="30" t="str">
        <x:v>VALIDADA</x:v>
      </x:c>
      <x:c r="M8" s="30" t="str">
        <x:v>Prior art de practitioner.</x:v>
      </x:c>
    </x:row>
    <x:row r="9">
      <x:c r="A9" s="30" t="str">
        <x:v>EVD-RC-0003</x:v>
      </x:c>
      <x:c r="B9" s="30" t="str">
        <x:v>CNT-RC-0001</x:v>
      </x:c>
      <x:c r="C9" s="30" t="str">
        <x:v>ARG-RC-0001</x:v>
      </x:c>
      <x:c r="D9" s="30" t="str">
        <x:v>Felix Zhu</x:v>
      </x:c>
      <x:c r="E9" s="30" t="str">
        <x:v>ProjectManagement.com</x:v>
      </x:c>
      <x:c r="F9" s="34" t="str">
        <x:v>2026-07-05</x:v>
      </x:c>
      <x:c r="G9" s="30" t="str">
        <x:v>AI in Project Risk Analysis: A Practitioner's Perspective</x:v>
      </x:c>
      <x:c r="H9" s="30" t="str">
        <x:v>Paper profissional</x:v>
      </x:c>
      <x:c r="I9" s="30" t="str">
        <x:v>https://www.projectmanagement.com/discussion-topic/242531/ai-in-project-risk-analysis--a-practitioner-s-perspective</x:v>
      </x:c>
      <x:c r="J9" s="30" t="str">
        <x:v>Cognitive chain e limites de cognitive bandwidth em análise de risco.</x:v>
      </x:c>
      <x:c r="K9" s="30" t="str">
        <x:v>C · Publicado</x:v>
      </x:c>
      <x:c r="L9" s="30" t="str">
        <x:v>VALIDADA</x:v>
      </x:c>
      <x:c r="M9" s="30" t="str">
        <x:v>Discussão de comunidade.</x:v>
      </x:c>
    </x:row>
    <x:row r="10">
      <x:c r="A10" s="30" t="str">
        <x:v>EVD-RC-0004</x:v>
      </x:c>
      <x:c r="B10" s="30" t="str">
        <x:v>CNT-RC-0002</x:v>
      </x:c>
      <x:c r="C10" s="30" t="str">
        <x:v>ARG-RC-0005</x:v>
      </x:c>
      <x:c r="D10" s="30" t="str">
        <x:v>Ioannis Touras</x:v>
      </x:c>
      <x:c r="E10" s="30" t="str">
        <x:v>Association for Project Management</x:v>
      </x:c>
      <x:c r="F10" s="34" t="str">
        <x:v>2026-03-17</x:v>
      </x:c>
      <x:c r="G10" s="30" t="str">
        <x:v>Neurodiversity in project management: Enabling neuro-inclusion improves project delivery and metrics</x:v>
      </x:c>
      <x:c r="H10" s="30" t="str">
        <x:v>Paper profissional</x:v>
      </x:c>
      <x:c r="I10" s="30" t="str">
        <x:v>https://www.apm.org.uk/blog/neurodiversity-in-project-management-enabling-neuro-inclusion-improves-project-delivery-and-metrics/</x:v>
      </x:c>
      <x:c r="J10" s="30" t="str">
        <x:v>Práticas neuroinclusivas; sobrecarga sensorial; estrutura de reuniões e métricas.</x:v>
      </x:c>
      <x:c r="K10" s="30" t="str">
        <x:v>C · Publicado</x:v>
      </x:c>
      <x:c r="L10" s="30" t="str">
        <x:v>VALIDADA</x:v>
      </x:c>
      <x:c r="M10" s="30" t="str">
        <x:v>Complementar.</x:v>
      </x:c>
    </x:row>
    <x:row r="11">
      <x:c r="A11" s="30" t="str">
        <x:v>EVD-RC-0005</x:v>
      </x:c>
      <x:c r="B11" s="30" t="str">
        <x:v>CNT-RC-0002</x:v>
      </x:c>
      <x:c r="C11" s="30" t="str">
        <x:v>ARG-RC-0005</x:v>
      </x:c>
      <x:c r="D11" s="30" t="str">
        <x:v>D. Adigun et al.</x:v>
      </x:c>
      <x:c r="E11" s="30" t="str">
        <x:v>Association for Project Management</x:v>
      </x:c>
      <x:c r="F11" s="34" t="str">
        <x:v>2025</x:v>
      </x:c>
      <x:c r="G11" s="30" t="str">
        <x:v>Promoting Neurodiversity: Unveiling Barriers and Enablers in the Project Management Profession</x:v>
      </x:c>
      <x:c r="H11" s="30" t="str">
        <x:v>Pesquisa</x:v>
      </x:c>
      <x:c r="I11" s="30" t="str">
        <x:v>https://www.apm.org.uk/resources/research/published-research/promoting-neurodiversity-unveiling-barriers-and-enablers-in-the-project-management-profession</x:v>
      </x:c>
      <x:c r="J11" s="30" t="str">
        <x:v>Barreiras, enablers e práticas neuroinclusivas em project management.</x:v>
      </x:c>
      <x:c r="K11" s="30" t="str">
        <x:v>C · Publicado</x:v>
      </x:c>
      <x:c r="L11" s="30" t="str">
        <x:v>VALIDADA</x:v>
      </x:c>
      <x:c r="M11" s="30" t="str">
        <x:v>DOI 10.61175/G4N2XB7M.</x:v>
      </x:c>
    </x:row>
    <x:row r="12">
      <x:c r="A12" s="30"/>
      <x:c r="B12" s="30"/>
      <x:c r="C12" s="30"/>
      <x:c r="D12" s="30"/>
      <x:c r="E12" s="30"/>
      <x:c r="F12" s="34"/>
      <x:c r="G12" s="30"/>
      <x:c r="H12" s="30"/>
      <x:c r="I12" s="30"/>
      <x:c r="J12" s="30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4"/>
      <x:c r="G13" s="30"/>
      <x:c r="H13" s="30"/>
      <x:c r="I13" s="30"/>
      <x:c r="J13" s="30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4"/>
      <x:c r="G14" s="30"/>
      <x:c r="H14" s="30"/>
      <x:c r="I14" s="30"/>
      <x:c r="J14" s="30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4"/>
      <x:c r="G15" s="30"/>
      <x:c r="H15" s="30"/>
      <x:c r="I15" s="30"/>
      <x:c r="J15" s="30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4"/>
      <x:c r="G16" s="30"/>
      <x:c r="H16" s="30"/>
      <x:c r="I16" s="30"/>
      <x:c r="J16" s="30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4"/>
      <x:c r="G17" s="30"/>
      <x:c r="H17" s="30"/>
      <x:c r="I17" s="30"/>
      <x:c r="J17" s="30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4"/>
      <x:c r="G18" s="30"/>
      <x:c r="H18" s="30"/>
      <x:c r="I18" s="30"/>
      <x:c r="J18" s="30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4"/>
      <x:c r="G19" s="30"/>
      <x:c r="H19" s="30"/>
      <x:c r="I19" s="30"/>
      <x:c r="J19" s="30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4"/>
      <x:c r="G20" s="30"/>
      <x:c r="H20" s="30"/>
      <x:c r="I20" s="30"/>
      <x:c r="J20" s="30"/>
      <x:c r="K20" s="30"/>
      <x:c r="L20" s="30"/>
      <x:c r="M20" s="30"/>
    </x:row>
    <x:row r="21">
      <x:c r="A21" s="30"/>
      <x:c r="B21" s="30"/>
      <x:c r="C21" s="30"/>
      <x:c r="D21" s="30"/>
      <x:c r="E21" s="30"/>
      <x:c r="F21" s="34"/>
      <x:c r="G21" s="30"/>
      <x:c r="H21" s="30"/>
      <x:c r="I21" s="30"/>
      <x:c r="J21" s="30"/>
      <x:c r="K21" s="30"/>
      <x:c r="L21" s="30"/>
      <x:c r="M21" s="30"/>
    </x:row>
    <x:row r="22">
      <x:c r="A22" s="30"/>
      <x:c r="B22" s="30"/>
      <x:c r="C22" s="30"/>
      <x:c r="D22" s="30"/>
      <x:c r="E22" s="30"/>
      <x:c r="F22" s="34"/>
      <x:c r="G22" s="30"/>
      <x:c r="H22" s="30"/>
      <x:c r="I22" s="30"/>
      <x:c r="J22" s="30"/>
      <x:c r="K22" s="30"/>
      <x:c r="L22" s="30"/>
      <x:c r="M22" s="30"/>
    </x:row>
    <x:row r="23">
      <x:c r="A23" s="30"/>
      <x:c r="B23" s="30"/>
      <x:c r="C23" s="30"/>
      <x:c r="D23" s="30"/>
      <x:c r="E23" s="30"/>
      <x:c r="F23" s="34"/>
      <x:c r="G23" s="30"/>
      <x:c r="H23" s="30"/>
      <x:c r="I23" s="30"/>
      <x:c r="J23" s="30"/>
      <x:c r="K23" s="30"/>
      <x:c r="L23" s="30"/>
      <x:c r="M23" s="30"/>
    </x:row>
    <x:row r="24">
      <x:c r="A24" s="30"/>
      <x:c r="B24" s="30"/>
      <x:c r="C24" s="30"/>
      <x:c r="D24" s="30"/>
      <x:c r="E24" s="30"/>
      <x:c r="F24" s="34"/>
      <x:c r="G24" s="30"/>
      <x:c r="H24" s="30"/>
      <x:c r="I24" s="30"/>
      <x:c r="J24" s="30"/>
      <x:c r="K24" s="30"/>
      <x:c r="L24" s="30"/>
      <x:c r="M24" s="30"/>
    </x:row>
    <x:row r="25">
      <x:c r="A25" s="30"/>
      <x:c r="B25" s="30"/>
      <x:c r="C25" s="30"/>
      <x:c r="D25" s="30"/>
      <x:c r="E25" s="30"/>
      <x:c r="F25" s="34"/>
      <x:c r="G25" s="30"/>
      <x:c r="H25" s="30"/>
      <x:c r="I25" s="30"/>
      <x:c r="J25" s="30"/>
      <x:c r="K25" s="30"/>
      <x:c r="L25" s="30"/>
      <x:c r="M25" s="30"/>
    </x:row>
    <x:row r="26">
      <x:c r="A26" s="30"/>
      <x:c r="B26" s="30"/>
      <x:c r="C26" s="30"/>
      <x:c r="D26" s="30"/>
      <x:c r="E26" s="30"/>
      <x:c r="F26" s="34"/>
      <x:c r="G26" s="30"/>
      <x:c r="H26" s="30"/>
      <x:c r="I26" s="30"/>
      <x:c r="J26" s="30"/>
      <x:c r="K26" s="30"/>
      <x:c r="L26" s="30"/>
      <x:c r="M26" s="30"/>
    </x:row>
    <x:row r="27">
      <x:c r="A27" s="30"/>
      <x:c r="B27" s="30"/>
      <x:c r="C27" s="30"/>
      <x:c r="D27" s="30"/>
      <x:c r="E27" s="30"/>
      <x:c r="F27" s="34"/>
      <x:c r="G27" s="30"/>
      <x:c r="H27" s="30"/>
      <x:c r="I27" s="30"/>
      <x:c r="J27" s="30"/>
      <x:c r="K27" s="30"/>
      <x:c r="L27" s="30"/>
      <x:c r="M27" s="30"/>
    </x:row>
    <x:row r="28">
      <x:c r="A28" s="30"/>
      <x:c r="B28" s="30"/>
      <x:c r="C28" s="30"/>
      <x:c r="D28" s="30"/>
      <x:c r="E28" s="30"/>
      <x:c r="F28" s="34"/>
      <x:c r="G28" s="30"/>
      <x:c r="H28" s="30"/>
      <x:c r="I28" s="30"/>
      <x:c r="J28" s="30"/>
      <x:c r="K28" s="30"/>
      <x:c r="L28" s="30"/>
      <x:c r="M28" s="30"/>
    </x:row>
    <x:row r="29">
      <x:c r="A29" s="30"/>
      <x:c r="B29" s="30"/>
      <x:c r="C29" s="30"/>
      <x:c r="D29" s="30"/>
      <x:c r="E29" s="30"/>
      <x:c r="F29" s="34"/>
      <x:c r="G29" s="30"/>
      <x:c r="H29" s="30"/>
      <x:c r="I29" s="30"/>
      <x:c r="J29" s="30"/>
      <x:c r="K29" s="30"/>
      <x:c r="L29" s="30"/>
      <x:c r="M29" s="30"/>
    </x:row>
    <x:row r="30">
      <x:c r="A30" s="30"/>
      <x:c r="B30" s="30"/>
      <x:c r="C30" s="30"/>
      <x:c r="D30" s="30"/>
      <x:c r="E30" s="30"/>
      <x:c r="F30" s="34"/>
      <x:c r="G30" s="30"/>
      <x:c r="H30" s="30"/>
      <x:c r="I30" s="30"/>
      <x:c r="J30" s="30"/>
      <x:c r="K30" s="30"/>
      <x:c r="L30" s="30"/>
      <x:c r="M30" s="30"/>
    </x:row>
    <x:row r="31">
      <x:c r="A31" s="30"/>
      <x:c r="B31" s="30"/>
      <x:c r="C31" s="30"/>
      <x:c r="D31" s="30"/>
      <x:c r="E31" s="30"/>
      <x:c r="F31" s="34"/>
      <x:c r="G31" s="30"/>
      <x:c r="H31" s="30"/>
      <x:c r="I31" s="30"/>
      <x:c r="J31" s="30"/>
      <x:c r="K31" s="30"/>
      <x:c r="L31" s="30"/>
      <x:c r="M31" s="30"/>
    </x:row>
    <x:row r="32">
      <x:c r="A32" s="30"/>
      <x:c r="B32" s="30"/>
      <x:c r="C32" s="30"/>
      <x:c r="D32" s="30"/>
      <x:c r="E32" s="30"/>
      <x:c r="F32" s="34"/>
      <x:c r="G32" s="30"/>
      <x:c r="H32" s="30"/>
      <x:c r="I32" s="30"/>
      <x:c r="J32" s="30"/>
      <x:c r="K32" s="30"/>
      <x:c r="L32" s="30"/>
      <x:c r="M32" s="30"/>
    </x:row>
    <x:row r="33">
      <x:c r="A33" s="30"/>
      <x:c r="B33" s="30"/>
      <x:c r="C33" s="30"/>
      <x:c r="D33" s="30"/>
      <x:c r="E33" s="30"/>
      <x:c r="F33" s="34"/>
      <x:c r="G33" s="30"/>
      <x:c r="H33" s="30"/>
      <x:c r="I33" s="30"/>
      <x:c r="J33" s="30"/>
      <x:c r="K33" s="30"/>
      <x:c r="L33" s="30"/>
      <x:c r="M33" s="30"/>
    </x:row>
    <x:row r="34">
      <x:c r="A34" s="30"/>
      <x:c r="B34" s="30"/>
      <x:c r="C34" s="30"/>
      <x:c r="D34" s="30"/>
      <x:c r="E34" s="30"/>
      <x:c r="F34" s="34"/>
      <x:c r="G34" s="30"/>
      <x:c r="H34" s="30"/>
      <x:c r="I34" s="30"/>
      <x:c r="J34" s="30"/>
      <x:c r="K34" s="30"/>
      <x:c r="L34" s="30"/>
      <x:c r="M34" s="30"/>
    </x:row>
    <x:row r="35">
      <x:c r="A35" s="30"/>
      <x:c r="B35" s="30"/>
      <x:c r="C35" s="30"/>
      <x:c r="D35" s="30"/>
      <x:c r="E35" s="30"/>
      <x:c r="F35" s="34"/>
      <x:c r="G35" s="30"/>
      <x:c r="H35" s="30"/>
      <x:c r="I35" s="30"/>
      <x:c r="J35" s="30"/>
      <x:c r="K35" s="30"/>
      <x:c r="L35" s="30"/>
      <x:c r="M35" s="30"/>
    </x:row>
    <x:row r="36">
      <x:c r="A36" s="30"/>
      <x:c r="B36" s="30"/>
      <x:c r="C36" s="30"/>
      <x:c r="D36" s="30"/>
      <x:c r="E36" s="30"/>
      <x:c r="F36" s="34"/>
      <x:c r="G36" s="30"/>
      <x:c r="H36" s="30"/>
      <x:c r="I36" s="30"/>
      <x:c r="J36" s="30"/>
      <x:c r="K36" s="30"/>
      <x:c r="L36" s="30"/>
      <x:c r="M36" s="30"/>
    </x:row>
    <x:row r="37">
      <x:c r="A37" s="30"/>
      <x:c r="B37" s="30"/>
      <x:c r="C37" s="30"/>
      <x:c r="D37" s="30"/>
      <x:c r="E37" s="30"/>
      <x:c r="F37" s="34"/>
      <x:c r="G37" s="30"/>
      <x:c r="H37" s="30"/>
      <x:c r="I37" s="30"/>
      <x:c r="J37" s="30"/>
      <x:c r="K37" s="30"/>
      <x:c r="L37" s="30"/>
      <x:c r="M37" s="30"/>
    </x:row>
    <x:row r="38">
      <x:c r="A38" s="30"/>
      <x:c r="B38" s="30"/>
      <x:c r="C38" s="30"/>
      <x:c r="D38" s="30"/>
      <x:c r="E38" s="30"/>
      <x:c r="F38" s="34"/>
      <x:c r="G38" s="30"/>
      <x:c r="H38" s="30"/>
      <x:c r="I38" s="30"/>
      <x:c r="J38" s="30"/>
      <x:c r="K38" s="30"/>
      <x:c r="L38" s="30"/>
      <x:c r="M38" s="30"/>
    </x:row>
    <x:row r="39">
      <x:c r="A39" s="30"/>
      <x:c r="B39" s="30"/>
      <x:c r="C39" s="30"/>
      <x:c r="D39" s="30"/>
      <x:c r="E39" s="30"/>
      <x:c r="F39" s="34"/>
      <x:c r="G39" s="30"/>
      <x:c r="H39" s="30"/>
      <x:c r="I39" s="30"/>
      <x:c r="J39" s="30"/>
      <x:c r="K39" s="30"/>
      <x:c r="L39" s="30"/>
      <x:c r="M39" s="30"/>
    </x:row>
    <x:row r="40">
      <x:c r="A40" s="30"/>
      <x:c r="B40" s="30"/>
      <x:c r="C40" s="30"/>
      <x:c r="D40" s="30"/>
      <x:c r="E40" s="30"/>
      <x:c r="F40" s="34"/>
      <x:c r="G40" s="30"/>
      <x:c r="H40" s="30"/>
      <x:c r="I40" s="30"/>
      <x:c r="J40" s="30"/>
      <x:c r="K40" s="30"/>
      <x:c r="L40" s="30"/>
      <x:c r="M40" s="30"/>
    </x:row>
    <x:row r="41">
      <x:c r="A41" s="30"/>
      <x:c r="B41" s="30"/>
      <x:c r="C41" s="30"/>
      <x:c r="D41" s="30"/>
      <x:c r="E41" s="30"/>
      <x:c r="F41" s="34"/>
      <x:c r="G41" s="30"/>
      <x:c r="H41" s="30"/>
      <x:c r="I41" s="30"/>
      <x:c r="J41" s="30"/>
      <x:c r="K41" s="30"/>
      <x:c r="L41" s="30"/>
      <x:c r="M41" s="30"/>
    </x:row>
    <x:row r="42">
      <x:c r="A42" s="30"/>
      <x:c r="B42" s="30"/>
      <x:c r="C42" s="30"/>
      <x:c r="D42" s="30"/>
      <x:c r="E42" s="30"/>
      <x:c r="F42" s="34"/>
      <x:c r="G42" s="30"/>
      <x:c r="H42" s="30"/>
      <x:c r="I42" s="30"/>
      <x:c r="J42" s="30"/>
      <x:c r="K42" s="30"/>
      <x:c r="L42" s="30"/>
      <x:c r="M42" s="30"/>
    </x:row>
    <x:row r="43">
      <x:c r="A43" s="30"/>
      <x:c r="B43" s="30"/>
      <x:c r="C43" s="30"/>
      <x:c r="D43" s="30"/>
      <x:c r="E43" s="30"/>
      <x:c r="F43" s="34"/>
      <x:c r="G43" s="30"/>
      <x:c r="H43" s="30"/>
      <x:c r="I43" s="30"/>
      <x:c r="J43" s="30"/>
      <x:c r="K43" s="30"/>
      <x:c r="L43" s="30"/>
      <x:c r="M43" s="30"/>
    </x:row>
    <x:row r="44">
      <x:c r="A44" s="30"/>
      <x:c r="B44" s="30"/>
      <x:c r="C44" s="30"/>
      <x:c r="D44" s="30"/>
      <x:c r="E44" s="30"/>
      <x:c r="F44" s="34"/>
      <x:c r="G44" s="30"/>
      <x:c r="H44" s="30"/>
      <x:c r="I44" s="30"/>
      <x:c r="J44" s="30"/>
      <x:c r="K44" s="30"/>
      <x:c r="L44" s="30"/>
      <x:c r="M44" s="30"/>
    </x:row>
    <x:row r="45">
      <x:c r="A45" s="30"/>
      <x:c r="B45" s="30"/>
      <x:c r="C45" s="30"/>
      <x:c r="D45" s="30"/>
      <x:c r="E45" s="30"/>
      <x:c r="F45" s="34"/>
      <x:c r="G45" s="30"/>
      <x:c r="H45" s="30"/>
      <x:c r="I45" s="30"/>
      <x:c r="J45" s="30"/>
      <x:c r="K45" s="30"/>
      <x:c r="L45" s="30"/>
      <x:c r="M45" s="30"/>
    </x:row>
    <x:row r="46">
      <x:c r="A46" s="30"/>
      <x:c r="B46" s="30"/>
      <x:c r="C46" s="30"/>
      <x:c r="D46" s="30"/>
      <x:c r="E46" s="30"/>
      <x:c r="F46" s="34"/>
      <x:c r="G46" s="30"/>
      <x:c r="H46" s="30"/>
      <x:c r="I46" s="30"/>
      <x:c r="J46" s="30"/>
      <x:c r="K46" s="30"/>
      <x:c r="L46" s="30"/>
      <x:c r="M46" s="30"/>
    </x:row>
    <x:row r="47">
      <x:c r="A47" s="30"/>
      <x:c r="B47" s="30"/>
      <x:c r="C47" s="30"/>
      <x:c r="D47" s="30"/>
      <x:c r="E47" s="30"/>
      <x:c r="F47" s="34"/>
      <x:c r="G47" s="30"/>
      <x:c r="H47" s="30"/>
      <x:c r="I47" s="30"/>
      <x:c r="J47" s="30"/>
      <x:c r="K47" s="30"/>
      <x:c r="L47" s="30"/>
      <x:c r="M47" s="30"/>
    </x:row>
    <x:row r="48">
      <x:c r="A48" s="30"/>
      <x:c r="B48" s="30"/>
      <x:c r="C48" s="30"/>
      <x:c r="D48" s="30"/>
      <x:c r="E48" s="30"/>
      <x:c r="F48" s="34"/>
      <x:c r="G48" s="30"/>
      <x:c r="H48" s="30"/>
      <x:c r="I48" s="30"/>
      <x:c r="J48" s="30"/>
      <x:c r="K48" s="30"/>
      <x:c r="L48" s="30"/>
      <x:c r="M48" s="30"/>
    </x:row>
    <x:row r="49">
      <x:c r="A49" s="30"/>
      <x:c r="B49" s="30"/>
      <x:c r="C49" s="30"/>
      <x:c r="D49" s="30"/>
      <x:c r="E49" s="30"/>
      <x:c r="F49" s="34"/>
      <x:c r="G49" s="30"/>
      <x:c r="H49" s="30"/>
      <x:c r="I49" s="30"/>
      <x:c r="J49" s="30"/>
      <x:c r="K49" s="30"/>
      <x:c r="L49" s="30"/>
      <x:c r="M49" s="30"/>
    </x:row>
    <x:row r="50">
      <x:c r="A50" s="30"/>
      <x:c r="B50" s="30"/>
      <x:c r="C50" s="30"/>
      <x:c r="D50" s="30"/>
      <x:c r="E50" s="30"/>
      <x:c r="F50" s="34"/>
      <x:c r="G50" s="30"/>
      <x:c r="H50" s="30"/>
      <x:c r="I50" s="30"/>
      <x:c r="J50" s="30"/>
      <x:c r="K50" s="30"/>
      <x:c r="L50" s="30"/>
      <x:c r="M50" s="30"/>
    </x:row>
    <x:row r="51">
      <x:c r="A51" s="30"/>
      <x:c r="B51" s="30"/>
      <x:c r="C51" s="30"/>
      <x:c r="D51" s="30"/>
      <x:c r="E51" s="30"/>
      <x:c r="F51" s="34"/>
      <x:c r="G51" s="30"/>
      <x:c r="H51" s="30"/>
      <x:c r="I51" s="30"/>
      <x:c r="J51" s="30"/>
      <x:c r="K51" s="30"/>
      <x:c r="L51" s="30"/>
      <x:c r="M51" s="30"/>
    </x:row>
    <x:row r="52">
      <x:c r="A52" s="30"/>
      <x:c r="B52" s="30"/>
      <x:c r="C52" s="30"/>
      <x:c r="D52" s="30"/>
      <x:c r="E52" s="30"/>
      <x:c r="F52" s="34"/>
      <x:c r="G52" s="30"/>
      <x:c r="H52" s="30"/>
      <x:c r="I52" s="30"/>
      <x:c r="J52" s="30"/>
      <x:c r="K52" s="30"/>
      <x:c r="L52" s="30"/>
      <x:c r="M52" s="30"/>
    </x:row>
    <x:row r="53">
      <x:c r="A53" s="30"/>
      <x:c r="B53" s="30"/>
      <x:c r="C53" s="30"/>
      <x:c r="D53" s="30"/>
      <x:c r="E53" s="30"/>
      <x:c r="F53" s="34"/>
      <x:c r="G53" s="30"/>
      <x:c r="H53" s="30"/>
      <x:c r="I53" s="30"/>
      <x:c r="J53" s="30"/>
      <x:c r="K53" s="30"/>
      <x:c r="L53" s="30"/>
      <x:c r="M53" s="30"/>
    </x:row>
    <x:row r="54">
      <x:c r="A54" s="30"/>
      <x:c r="B54" s="30"/>
      <x:c r="C54" s="30"/>
      <x:c r="D54" s="30"/>
      <x:c r="E54" s="30"/>
      <x:c r="F54" s="34"/>
      <x:c r="G54" s="30"/>
      <x:c r="H54" s="30"/>
      <x:c r="I54" s="30"/>
      <x:c r="J54" s="30"/>
      <x:c r="K54" s="30"/>
      <x:c r="L54" s="30"/>
      <x:c r="M54" s="30"/>
    </x:row>
    <x:row r="55">
      <x:c r="A55" s="30"/>
      <x:c r="B55" s="30"/>
      <x:c r="C55" s="30"/>
      <x:c r="D55" s="30"/>
      <x:c r="E55" s="30"/>
      <x:c r="F55" s="34"/>
      <x:c r="G55" s="30"/>
      <x:c r="H55" s="30"/>
      <x:c r="I55" s="30"/>
      <x:c r="J55" s="30"/>
      <x:c r="K55" s="30"/>
      <x:c r="L55" s="30"/>
      <x:c r="M55" s="30"/>
    </x:row>
    <x:row r="56">
      <x:c r="A56" s="30"/>
      <x:c r="B56" s="30"/>
      <x:c r="C56" s="30"/>
      <x:c r="D56" s="30"/>
      <x:c r="E56" s="30"/>
      <x:c r="F56" s="34"/>
      <x:c r="G56" s="30"/>
      <x:c r="H56" s="30"/>
      <x:c r="I56" s="30"/>
      <x:c r="J56" s="30"/>
      <x:c r="K56" s="30"/>
      <x:c r="L56" s="30"/>
      <x:c r="M56" s="30"/>
    </x:row>
    <x:row r="57">
      <x:c r="A57" s="30"/>
      <x:c r="B57" s="30"/>
      <x:c r="C57" s="30"/>
      <x:c r="D57" s="30"/>
      <x:c r="E57" s="30"/>
      <x:c r="F57" s="34"/>
      <x:c r="G57" s="30"/>
      <x:c r="H57" s="30"/>
      <x:c r="I57" s="30"/>
      <x:c r="J57" s="30"/>
      <x:c r="K57" s="30"/>
      <x:c r="L57" s="30"/>
      <x:c r="M57" s="30"/>
    </x:row>
    <x:row r="58">
      <x:c r="A58" s="30"/>
      <x:c r="B58" s="30"/>
      <x:c r="C58" s="30"/>
      <x:c r="D58" s="30"/>
      <x:c r="E58" s="30"/>
      <x:c r="F58" s="34"/>
      <x:c r="G58" s="30"/>
      <x:c r="H58" s="30"/>
      <x:c r="I58" s="30"/>
      <x:c r="J58" s="30"/>
      <x:c r="K58" s="30"/>
      <x:c r="L58" s="30"/>
      <x:c r="M58" s="30"/>
    </x:row>
    <x:row r="59">
      <x:c r="A59" s="30"/>
      <x:c r="B59" s="30"/>
      <x:c r="C59" s="30"/>
      <x:c r="D59" s="30"/>
      <x:c r="E59" s="30"/>
      <x:c r="F59" s="34"/>
      <x:c r="G59" s="30"/>
      <x:c r="H59" s="30"/>
      <x:c r="I59" s="30"/>
      <x:c r="J59" s="30"/>
      <x:c r="K59" s="30"/>
      <x:c r="L59" s="30"/>
      <x:c r="M59" s="30"/>
    </x:row>
    <x:row r="60">
      <x:c r="A60" s="30"/>
      <x:c r="B60" s="30"/>
      <x:c r="C60" s="30"/>
      <x:c r="D60" s="30"/>
      <x:c r="E60" s="30"/>
      <x:c r="F60" s="34"/>
      <x:c r="G60" s="30"/>
      <x:c r="H60" s="30"/>
      <x:c r="I60" s="30"/>
      <x:c r="J60" s="30"/>
      <x:c r="K60" s="30"/>
      <x:c r="L60" s="30"/>
      <x:c r="M60" s="30"/>
    </x:row>
    <x:row r="61">
      <x:c r="A61" s="30"/>
      <x:c r="B61" s="30"/>
      <x:c r="C61" s="30"/>
      <x:c r="D61" s="30"/>
      <x:c r="E61" s="30"/>
      <x:c r="F61" s="34"/>
      <x:c r="G61" s="30"/>
      <x:c r="H61" s="30"/>
      <x:c r="I61" s="30"/>
      <x:c r="J61" s="30"/>
      <x:c r="K61" s="30"/>
      <x:c r="L61" s="30"/>
      <x:c r="M61" s="30"/>
    </x:row>
    <x:row r="62">
      <x:c r="A62" s="30"/>
      <x:c r="B62" s="30"/>
      <x:c r="C62" s="30"/>
      <x:c r="D62" s="30"/>
      <x:c r="E62" s="30"/>
      <x:c r="F62" s="34"/>
      <x:c r="G62" s="30"/>
      <x:c r="H62" s="30"/>
      <x:c r="I62" s="30"/>
      <x:c r="J62" s="30"/>
      <x:c r="K62" s="30"/>
      <x:c r="L62" s="30"/>
      <x:c r="M62" s="30"/>
    </x:row>
    <x:row r="63">
      <x:c r="A63" s="30"/>
      <x:c r="B63" s="30"/>
      <x:c r="C63" s="30"/>
      <x:c r="D63" s="30"/>
      <x:c r="E63" s="30"/>
      <x:c r="F63" s="34"/>
      <x:c r="G63" s="30"/>
      <x:c r="H63" s="30"/>
      <x:c r="I63" s="30"/>
      <x:c r="J63" s="30"/>
      <x:c r="K63" s="30"/>
      <x:c r="L63" s="30"/>
      <x:c r="M63" s="30"/>
    </x:row>
    <x:row r="64">
      <x:c r="A64" s="30"/>
      <x:c r="B64" s="30"/>
      <x:c r="C64" s="30"/>
      <x:c r="D64" s="30"/>
      <x:c r="E64" s="30"/>
      <x:c r="F64" s="34"/>
      <x:c r="G64" s="30"/>
      <x:c r="H64" s="30"/>
      <x:c r="I64" s="30"/>
      <x:c r="J64" s="30"/>
      <x:c r="K64" s="30"/>
      <x:c r="L64" s="30"/>
      <x:c r="M64" s="30"/>
    </x:row>
    <x:row r="65">
      <x:c r="A65" s="30"/>
      <x:c r="B65" s="30"/>
      <x:c r="C65" s="30"/>
      <x:c r="D65" s="30"/>
      <x:c r="E65" s="30"/>
      <x:c r="F65" s="34"/>
      <x:c r="G65" s="30"/>
      <x:c r="H65" s="30"/>
      <x:c r="I65" s="30"/>
      <x:c r="J65" s="30"/>
      <x:c r="K65" s="30"/>
      <x:c r="L65" s="30"/>
      <x:c r="M65" s="30"/>
    </x:row>
    <x:row r="66">
      <x:c r="A66" s="30"/>
      <x:c r="B66" s="30"/>
      <x:c r="C66" s="30"/>
      <x:c r="D66" s="30"/>
      <x:c r="E66" s="30"/>
      <x:c r="F66" s="34"/>
      <x:c r="G66" s="30"/>
      <x:c r="H66" s="30"/>
      <x:c r="I66" s="30"/>
      <x:c r="J66" s="30"/>
      <x:c r="K66" s="30"/>
      <x:c r="L66" s="30"/>
      <x:c r="M66" s="30"/>
    </x:row>
    <x:row r="67">
      <x:c r="A67" s="30"/>
      <x:c r="B67" s="30"/>
      <x:c r="C67" s="30"/>
      <x:c r="D67" s="30"/>
      <x:c r="E67" s="30"/>
      <x:c r="F67" s="34"/>
      <x:c r="G67" s="30"/>
      <x:c r="H67" s="30"/>
      <x:c r="I67" s="30"/>
      <x:c r="J67" s="30"/>
      <x:c r="K67" s="30"/>
      <x:c r="L67" s="30"/>
      <x:c r="M67" s="30"/>
    </x:row>
    <x:row r="68">
      <x:c r="A68" s="30"/>
      <x:c r="B68" s="30"/>
      <x:c r="C68" s="30"/>
      <x:c r="D68" s="30"/>
      <x:c r="E68" s="30"/>
      <x:c r="F68" s="34"/>
      <x:c r="G68" s="30"/>
      <x:c r="H68" s="30"/>
      <x:c r="I68" s="30"/>
      <x:c r="J68" s="30"/>
      <x:c r="K68" s="30"/>
      <x:c r="L68" s="30"/>
      <x:c r="M68" s="30"/>
    </x:row>
    <x:row r="69">
      <x:c r="A69" s="30"/>
      <x:c r="B69" s="30"/>
      <x:c r="C69" s="30"/>
      <x:c r="D69" s="30"/>
      <x:c r="E69" s="30"/>
      <x:c r="F69" s="34"/>
      <x:c r="G69" s="30"/>
      <x:c r="H69" s="30"/>
      <x:c r="I69" s="30"/>
      <x:c r="J69" s="30"/>
      <x:c r="K69" s="30"/>
      <x:c r="L69" s="30"/>
      <x:c r="M69" s="30"/>
    </x:row>
    <x:row r="70">
      <x:c r="A70" s="30"/>
      <x:c r="B70" s="30"/>
      <x:c r="C70" s="30"/>
      <x:c r="D70" s="30"/>
      <x:c r="E70" s="30"/>
      <x:c r="F70" s="34"/>
      <x:c r="G70" s="30"/>
      <x:c r="H70" s="30"/>
      <x:c r="I70" s="30"/>
      <x:c r="J70" s="30"/>
      <x:c r="K70" s="30"/>
      <x:c r="L70" s="30"/>
      <x:c r="M70" s="30"/>
    </x:row>
    <x:row r="71">
      <x:c r="A71" s="30"/>
      <x:c r="B71" s="30"/>
      <x:c r="C71" s="30"/>
      <x:c r="D71" s="30"/>
      <x:c r="E71" s="30"/>
      <x:c r="F71" s="34"/>
      <x:c r="G71" s="30"/>
      <x:c r="H71" s="30"/>
      <x:c r="I71" s="30"/>
      <x:c r="J71" s="30"/>
      <x:c r="K71" s="30"/>
      <x:c r="L71" s="30"/>
      <x:c r="M71" s="30"/>
    </x:row>
    <x:row r="72">
      <x:c r="A72" s="30"/>
      <x:c r="B72" s="30"/>
      <x:c r="C72" s="30"/>
      <x:c r="D72" s="30"/>
      <x:c r="E72" s="30"/>
      <x:c r="F72" s="34"/>
      <x:c r="G72" s="30"/>
      <x:c r="H72" s="30"/>
      <x:c r="I72" s="30"/>
      <x:c r="J72" s="30"/>
      <x:c r="K72" s="30"/>
      <x:c r="L72" s="30"/>
      <x:c r="M72" s="30"/>
    </x:row>
    <x:row r="73">
      <x:c r="A73" s="30"/>
      <x:c r="B73" s="30"/>
      <x:c r="C73" s="30"/>
      <x:c r="D73" s="30"/>
      <x:c r="E73" s="30"/>
      <x:c r="F73" s="34"/>
      <x:c r="G73" s="30"/>
      <x:c r="H73" s="30"/>
      <x:c r="I73" s="30"/>
      <x:c r="J73" s="30"/>
      <x:c r="K73" s="30"/>
      <x:c r="L73" s="30"/>
      <x:c r="M73" s="30"/>
    </x:row>
    <x:row r="74">
      <x:c r="A74" s="30"/>
      <x:c r="B74" s="30"/>
      <x:c r="C74" s="30"/>
      <x:c r="D74" s="30"/>
      <x:c r="E74" s="30"/>
      <x:c r="F74" s="34"/>
      <x:c r="G74" s="30"/>
      <x:c r="H74" s="30"/>
      <x:c r="I74" s="30"/>
      <x:c r="J74" s="30"/>
      <x:c r="K74" s="30"/>
      <x:c r="L74" s="30"/>
      <x:c r="M74" s="30"/>
    </x:row>
    <x:row r="75">
      <x:c r="A75" s="30"/>
      <x:c r="B75" s="30"/>
      <x:c r="C75" s="30"/>
      <x:c r="D75" s="30"/>
      <x:c r="E75" s="30"/>
      <x:c r="F75" s="34"/>
      <x:c r="G75" s="30"/>
      <x:c r="H75" s="30"/>
      <x:c r="I75" s="30"/>
      <x:c r="J75" s="30"/>
      <x:c r="K75" s="30"/>
      <x:c r="L75" s="30"/>
      <x:c r="M75" s="30"/>
    </x:row>
    <x:row r="76">
      <x:c r="A76" s="30"/>
      <x:c r="B76" s="30"/>
      <x:c r="C76" s="30"/>
      <x:c r="D76" s="30"/>
      <x:c r="E76" s="30"/>
      <x:c r="F76" s="34"/>
      <x:c r="G76" s="30"/>
      <x:c r="H76" s="30"/>
      <x:c r="I76" s="30"/>
      <x:c r="J76" s="30"/>
      <x:c r="K76" s="30"/>
      <x:c r="L76" s="30"/>
      <x:c r="M76" s="30"/>
    </x:row>
    <x:row r="77">
      <x:c r="A77" s="30"/>
      <x:c r="B77" s="30"/>
      <x:c r="C77" s="30"/>
      <x:c r="D77" s="30"/>
      <x:c r="E77" s="30"/>
      <x:c r="F77" s="34"/>
      <x:c r="G77" s="30"/>
      <x:c r="H77" s="30"/>
      <x:c r="I77" s="30"/>
      <x:c r="J77" s="30"/>
      <x:c r="K77" s="30"/>
      <x:c r="L77" s="30"/>
      <x:c r="M77" s="30"/>
    </x:row>
    <x:row r="78">
      <x:c r="A78" s="30"/>
      <x:c r="B78" s="30"/>
      <x:c r="C78" s="30"/>
      <x:c r="D78" s="30"/>
      <x:c r="E78" s="30"/>
      <x:c r="F78" s="34"/>
      <x:c r="G78" s="30"/>
      <x:c r="H78" s="30"/>
      <x:c r="I78" s="30"/>
      <x:c r="J78" s="30"/>
      <x:c r="K78" s="30"/>
      <x:c r="L78" s="30"/>
      <x:c r="M78" s="30"/>
    </x:row>
    <x:row r="79">
      <x:c r="A79" s="30"/>
      <x:c r="B79" s="30"/>
      <x:c r="C79" s="30"/>
      <x:c r="D79" s="30"/>
      <x:c r="E79" s="30"/>
      <x:c r="F79" s="34"/>
      <x:c r="G79" s="30"/>
      <x:c r="H79" s="30"/>
      <x:c r="I79" s="30"/>
      <x:c r="J79" s="30"/>
      <x:c r="K79" s="30"/>
      <x:c r="L79" s="30"/>
      <x:c r="M79" s="30"/>
    </x:row>
    <x:row r="80">
      <x:c r="A80" s="30"/>
      <x:c r="B80" s="30"/>
      <x:c r="C80" s="30"/>
      <x:c r="D80" s="30"/>
      <x:c r="E80" s="30"/>
      <x:c r="F80" s="34"/>
      <x:c r="G80" s="30"/>
      <x:c r="H80" s="30"/>
      <x:c r="I80" s="30"/>
      <x:c r="J80" s="30"/>
      <x:c r="K80" s="30"/>
      <x:c r="L80" s="30"/>
      <x:c r="M80" s="30"/>
    </x:row>
  </x:sheetData>
  <x:mergeCells>
    <x:mergeCell ref="A1:H2"/>
    <x:mergeCell ref="A3:H3"/>
  </x:mergeCells>
  <x:dataValidations count="2">
    <x:dataValidation type="list" sqref="H7:H80">
      <x:formula1>'19_CONFIG_LISTAS'!$H$7:$H$16</x:formula1>
    </x:dataValidation>
    <x:dataValidation type="list" sqref="K7:K80">
      <x:formula1>'19_CONFIG_LISTAS'!$D$7:$D$11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8" hidden="0" customWidth="1"/>
    <x:col min="4" max="4" width="44" hidden="0" customWidth="1"/>
    <x:col min="5" max="5" width="50" hidden="0" customWidth="1"/>
    <x:col min="6" max="6" width="64" hidden="0" customWidth="1"/>
    <x:col min="7" max="7" width="64" hidden="0" customWidth="1"/>
    <x:col min="8" max="8" width="64" hidden="0" customWidth="1"/>
    <x:col min="9" max="9" width="64" hidden="0" customWidth="1"/>
    <x:col min="10" max="10" width="6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6" hidden="0" customWidth="1"/>
    <x:col min="17" max="17" width="16" hidden="0" customWidth="1"/>
  </x:cols>
  <x:sheetData>
    <x:row r="1">
      <x:c r="A1" s="4" t="str">
        <x:v>PRODUÇÃO DE TEXTO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Área de escrita dos ativos âncora com contagens e cobertura argumentativa automáticas.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Content_ID</x:v>
      </x:c>
      <x:c r="B6" s="23" t="str">
        <x:v>Título</x:v>
      </x:c>
      <x:c r="C6" s="23" t="str">
        <x:v>Status</x:v>
      </x:c>
      <x:c r="D6" s="23" t="str">
        <x:v>Resumo / lead</x:v>
      </x:c>
      <x:c r="E6" s="23" t="str">
        <x:v>Outline</x:v>
      </x:c>
      <x:c r="F6" s="23" t="str">
        <x:v>Introdução</x:v>
      </x:c>
      <x:c r="G6" s="23" t="str">
        <x:v>Desenvolvimento 1</x:v>
      </x:c>
      <x:c r="H6" s="23" t="str">
        <x:v>Desenvolvimento 2</x:v>
      </x:c>
      <x:c r="I6" s="23" t="str">
        <x:v>Desenvolvimento 3</x:v>
      </x:c>
      <x:c r="J6" s="23" t="str">
        <x:v>Conclusão</x:v>
      </x:c>
      <x:c r="K6" s="23" t="str">
        <x:v>Chars título</x:v>
      </x:c>
      <x:c r="L6" s="23" t="str">
        <x:v>Chars corpo</x:v>
      </x:c>
      <x:c r="M6" s="23" t="str">
        <x:v>Palavras corpo</x:v>
      </x:c>
      <x:c r="N6" s="23" t="str">
        <x:v>Leitura min</x:v>
      </x:c>
      <x:c r="O6" s="23" t="str">
        <x:v>Claims</x:v>
      </x:c>
      <x:c r="P6" s="23" t="str">
        <x:v>Claims c/ evid.</x:v>
      </x:c>
      <x:c r="Q6" s="23" t="str">
        <x:v>Cobertura %</x:v>
      </x:c>
    </x:row>
    <x:row r="7">
      <x:c r="A7" s="30" t="str">
        <x:v>CNT-RC-0001</x:v>
      </x:c>
      <x:c r="B7" s="30" t="str">
        <x:v>O que é Risco Cognitivo?</x:v>
      </x:c>
      <x:c r="C7" s="30" t="str">
        <x:v>RASCUNHO</x:v>
      </x:c>
      <x:c r="D7" s="30" t="str">
        <x:v>Definir o fenômeno e mostrar por que risco ≠ erro.</x:v>
      </x:c>
      <x:c r="E7" s="30" t="str">
        <x:v>Problema invisível; risco; cognitivo; definição; distinções; modelo; exemplos; contexto; próximos passos</x:v>
      </x:c>
      <x:c r="F7" s="30" t="str"/>
      <x:c r="G7" s="30" t="str"/>
      <x:c r="H7" s="30" t="str"/>
      <x:c r="I7" s="30" t="str"/>
      <x:c r="J7" s="30" t="str"/>
      <x:c r="K7" s="30" t="n">
        <x:f>IF(B7="","",LEN(B7))</x:f>
        <x:v>24</x:v>
      </x:c>
      <x:c r="L7" s="30" t="n">
        <x:f>IF(A7="","",LEN(F7&amp;G7&amp;H7&amp;I7&amp;J7))</x:f>
        <x:v>0</x:v>
      </x:c>
      <x:c r="M7" s="30" t="str">
        <x:f>IF(TRIM(F7&amp;" "&amp;G7&amp;" "&amp;H7&amp;" "&amp;I7&amp;" "&amp;J7)="","",LEN(TRIM(F7&amp;" "&amp;G7&amp;" "&amp;H7&amp;" "&amp;I7&amp;" "&amp;J7))-LEN(SUBSTITUTE(TRIM(F7&amp;" "&amp;G7&amp;" "&amp;H7&amp;" "&amp;I7&amp;" "&amp;J7)," ",""))+1)</x:f>
      </x:c>
      <x:c r="N7" s="30" t="str">
        <x:f>IF(M7="","",ROUNDUP(M7/230,0))</x:f>
      </x:c>
      <x:c r="O7" s="30" t="n">
        <x:f>IF(A7="","",COUNTIF('04_MAPA_ARGUMENTOS'!$B$7:$B$80,A7))</x:f>
        <x:v>3</x:v>
      </x:c>
      <x:c r="P7" s="30" t="n">
        <x:f>IF(A7="","",COUNTIFS('04_MAPA_ARGUMENTOS'!$B$7:$B$80,A7,'04_MAPA_ARGUMENTOS'!$G$7:$G$80,"&lt;&gt;"))</x:f>
        <x:v>3</x:v>
      </x:c>
      <x:c r="Q7" s="36" t="n">
        <x:f>IF(OR(O7="",O7=0),"",P7/O7)</x:f>
        <x:v>1</x:v>
      </x:c>
    </x:row>
    <x:row r="8">
      <x:c r="A8" s="30" t="str">
        <x:v>CNT-RC-0002</x:v>
      </x:c>
      <x:c r="B8" s="30" t="str">
        <x:v>Fatores de Risco Cognitivo</x:v>
      </x:c>
      <x:c r="C8" s="30" t="str">
        <x:v>RASCUNHO</x:v>
      </x:c>
      <x:c r="D8" s="30" t="str">
        <x:v>Explicar condições que aumentam probabilidade sem determinismo.</x:v>
      </x:c>
      <x:c r="E8" s="30" t="str">
        <x:v>Definição; fator ≠ evento; classes; interação; acumulação; ponte para exposição</x:v>
      </x:c>
      <x:c r="F8" s="30" t="str"/>
      <x:c r="G8" s="30" t="str"/>
      <x:c r="H8" s="30" t="str"/>
      <x:c r="I8" s="30" t="str"/>
      <x:c r="J8" s="30" t="str"/>
      <x:c r="K8" s="30" t="n">
        <x:f>IF(B8="","",LEN(B8))</x:f>
        <x:v>26</x:v>
      </x:c>
      <x:c r="L8" s="30" t="n">
        <x:f>IF(A8="","",LEN(F8&amp;G8&amp;H8&amp;I8&amp;J8))</x:f>
        <x:v>0</x:v>
      </x:c>
      <x:c r="M8" s="30" t="str">
        <x:f>IF(TRIM(F8&amp;" "&amp;G8&amp;" "&amp;H8&amp;" "&amp;I8&amp;" "&amp;J8)="","",LEN(TRIM(F8&amp;" "&amp;G8&amp;" "&amp;H8&amp;" "&amp;I8&amp;" "&amp;J8))-LEN(SUBSTITUTE(TRIM(F8&amp;" "&amp;G8&amp;" "&amp;H8&amp;" "&amp;I8&amp;" "&amp;J8)," ",""))+1)</x:f>
      </x:c>
      <x:c r="N8" s="30" t="str">
        <x:f>IF(M8="","",ROUNDUP(M8/230,0))</x:f>
      </x:c>
      <x:c r="O8" s="30" t="n">
        <x:f>IF(A8="","",COUNTIF('04_MAPA_ARGUMENTOS'!$B$7:$B$80,A8))</x:f>
        <x:v>2</x:v>
      </x:c>
      <x:c r="P8" s="30" t="n">
        <x:f>IF(A8="","",COUNTIFS('04_MAPA_ARGUMENTOS'!$B$7:$B$80,A8,'04_MAPA_ARGUMENTOS'!$G$7:$G$80,"&lt;&gt;"))</x:f>
        <x:v>2</x:v>
      </x:c>
      <x:c r="Q8" s="36" t="n">
        <x:f>IF(OR(O8="",O8=0),"",P8/O8)</x:f>
        <x:v>1</x:v>
      </x:c>
    </x:row>
    <x:row r="9">
      <x:c r="A9" s="30" t="str">
        <x:v>CNT-RC-0003</x:v>
      </x:c>
      <x:c r="B9" s="30" t="str">
        <x:v>Exposição Cognitiva</x:v>
      </x:c>
      <x:c r="C9" s="30" t="str">
        <x:v>RASCUNHO</x:v>
      </x:c>
      <x:c r="D9" s="30" t="str">
        <x:v>Explicar quando presença de fator se torna exposição relevante.</x:v>
      </x:c>
      <x:c r="E9" s="30" t="str">
        <x:v>Fator ≠ exposição; intensidade; frequência; duração; criticidade; contexto; aguda/crônica; ponte para eventos</x:v>
      </x:c>
      <x:c r="F9" s="30" t="str"/>
      <x:c r="G9" s="30" t="str"/>
      <x:c r="H9" s="30" t="str"/>
      <x:c r="I9" s="30" t="str"/>
      <x:c r="J9" s="30" t="str"/>
      <x:c r="K9" s="30" t="n">
        <x:f>IF(B9="","",LEN(B9))</x:f>
        <x:v>19</x:v>
      </x:c>
      <x:c r="L9" s="30" t="n">
        <x:f>IF(A9="","",LEN(F9&amp;G9&amp;H9&amp;I9&amp;J9))</x:f>
        <x:v>0</x:v>
      </x:c>
      <x:c r="M9" s="30" t="str">
        <x:f>IF(TRIM(F9&amp;" "&amp;G9&amp;" "&amp;H9&amp;" "&amp;I9&amp;" "&amp;J9)="","",LEN(TRIM(F9&amp;" "&amp;G9&amp;" "&amp;H9&amp;" "&amp;I9&amp;" "&amp;J9))-LEN(SUBSTITUTE(TRIM(F9&amp;" "&amp;G9&amp;" "&amp;H9&amp;" "&amp;I9&amp;" "&amp;J9)," ",""))+1)</x:f>
      </x:c>
      <x:c r="N9" s="30" t="str">
        <x:f>IF(M9="","",ROUNDUP(M9/230,0))</x:f>
      </x:c>
      <x:c r="O9" s="30" t="n">
        <x:f>IF(A9="","",COUNTIF('04_MAPA_ARGUMENTOS'!$B$7:$B$80,A9))</x:f>
        <x:v>2</x:v>
      </x:c>
      <x:c r="P9" s="30" t="n">
        <x:f>IF(A9="","",COUNTIFS('04_MAPA_ARGUMENTOS'!$B$7:$B$80,A9,'04_MAPA_ARGUMENTOS'!$G$7:$G$80,"&lt;&gt;"))</x:f>
        <x:v>2</x:v>
      </x:c>
      <x:c r="Q9" s="36" t="n">
        <x:f>IF(OR(O9="",O9=0),"",P9/O9)</x:f>
        <x:v>1</x:v>
      </x:c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 t="str">
        <x:f>IF(B10="","",LEN(B10))</x:f>
      </x:c>
      <x:c r="L10" s="30" t="str">
        <x:f>IF(A10="","",LEN(F10&amp;G10&amp;H10&amp;I10&amp;J10))</x:f>
      </x:c>
      <x:c r="M10" s="30" t="str">
        <x:f>IF(TRIM(F10&amp;" "&amp;G10&amp;" "&amp;H10&amp;" "&amp;I10&amp;" "&amp;J10)="","",LEN(TRIM(F10&amp;" "&amp;G10&amp;" "&amp;H10&amp;" "&amp;I10&amp;" "&amp;J10))-LEN(SUBSTITUTE(TRIM(F10&amp;" "&amp;G10&amp;" "&amp;H10&amp;" "&amp;I10&amp;" "&amp;J10)," ",""))+1)</x:f>
      </x:c>
      <x:c r="N10" s="30" t="str">
        <x:f>IF(M10="","",ROUNDUP(M10/230,0))</x:f>
      </x:c>
      <x:c r="O10" s="30" t="str">
        <x:f>IF(A10="","",COUNTIF('04_MAPA_ARGUMENTOS'!$B$7:$B$80,A10))</x:f>
      </x:c>
      <x:c r="P10" s="30" t="str">
        <x:f>IF(A10="","",COUNTIFS('04_MAPA_ARGUMENTOS'!$B$7:$B$80,A10,'04_MAPA_ARGUMENTOS'!$G$7:$G$80,"&lt;&gt;"))</x:f>
      </x:c>
      <x:c r="Q10" s="36" t="str">
        <x:f>IF(OR(O10="",O10=0),"",P10/O10)</x:f>
      </x:c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 t="str">
        <x:f>IF(B11="","",LEN(B11))</x:f>
      </x:c>
      <x:c r="L11" s="30" t="str">
        <x:f>IF(A11="","",LEN(F11&amp;G11&amp;H11&amp;I11&amp;J11))</x:f>
      </x:c>
      <x:c r="M11" s="30" t="str">
        <x:f>IF(TRIM(F11&amp;" "&amp;G11&amp;" "&amp;H11&amp;" "&amp;I11&amp;" "&amp;J11)="","",LEN(TRIM(F11&amp;" "&amp;G11&amp;" "&amp;H11&amp;" "&amp;I11&amp;" "&amp;J11))-LEN(SUBSTITUTE(TRIM(F11&amp;" "&amp;G11&amp;" "&amp;H11&amp;" "&amp;I11&amp;" "&amp;J11)," ",""))+1)</x:f>
      </x:c>
      <x:c r="N11" s="30" t="str">
        <x:f>IF(M11="","",ROUNDUP(M11/230,0))</x:f>
      </x:c>
      <x:c r="O11" s="30" t="str">
        <x:f>IF(A11="","",COUNTIF('04_MAPA_ARGUMENTOS'!$B$7:$B$80,A11))</x:f>
      </x:c>
      <x:c r="P11" s="30" t="str">
        <x:f>IF(A11="","",COUNTIFS('04_MAPA_ARGUMENTOS'!$B$7:$B$80,A11,'04_MAPA_ARGUMENTOS'!$G$7:$G$80,"&lt;&gt;"))</x:f>
      </x:c>
      <x:c r="Q11" s="36" t="str">
        <x:f>IF(OR(O11="",O11=0),"",P11/O11)</x:f>
      </x:c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 t="str">
        <x:f>IF(B12="","",LEN(B12))</x:f>
      </x:c>
      <x:c r="L12" s="30" t="str">
        <x:f>IF(A12="","",LEN(F12&amp;G12&amp;H12&amp;I12&amp;J12))</x:f>
      </x:c>
      <x:c r="M12" s="30" t="str">
        <x:f>IF(TRIM(F12&amp;" "&amp;G12&amp;" "&amp;H12&amp;" "&amp;I12&amp;" "&amp;J12)="","",LEN(TRIM(F12&amp;" "&amp;G12&amp;" "&amp;H12&amp;" "&amp;I12&amp;" "&amp;J12))-LEN(SUBSTITUTE(TRIM(F12&amp;" "&amp;G12&amp;" "&amp;H12&amp;" "&amp;I12&amp;" "&amp;J12)," ",""))+1)</x:f>
      </x:c>
      <x:c r="N12" s="30" t="str">
        <x:f>IF(M12="","",ROUNDUP(M12/230,0))</x:f>
      </x:c>
      <x:c r="O12" s="30" t="str">
        <x:f>IF(A12="","",COUNTIF('04_MAPA_ARGUMENTOS'!$B$7:$B$80,A12))</x:f>
      </x:c>
      <x:c r="P12" s="30" t="str">
        <x:f>IF(A12="","",COUNTIFS('04_MAPA_ARGUMENTOS'!$B$7:$B$80,A12,'04_MAPA_ARGUMENTOS'!$G$7:$G$80,"&lt;&gt;"))</x:f>
      </x:c>
      <x:c r="Q12" s="36" t="str">
        <x:f>IF(OR(O12="",O12=0),"",P12/O12)</x:f>
      </x:c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 t="str">
        <x:f>IF(B13="","",LEN(B13))</x:f>
      </x:c>
      <x:c r="L13" s="30" t="str">
        <x:f>IF(A13="","",LEN(F13&amp;G13&amp;H13&amp;I13&amp;J13))</x:f>
      </x:c>
      <x:c r="M13" s="30" t="str">
        <x:f>IF(TRIM(F13&amp;" "&amp;G13&amp;" "&amp;H13&amp;" "&amp;I13&amp;" "&amp;J13)="","",LEN(TRIM(F13&amp;" "&amp;G13&amp;" "&amp;H13&amp;" "&amp;I13&amp;" "&amp;J13))-LEN(SUBSTITUTE(TRIM(F13&amp;" "&amp;G13&amp;" "&amp;H13&amp;" "&amp;I13&amp;" "&amp;J13)," ",""))+1)</x:f>
      </x:c>
      <x:c r="N13" s="30" t="str">
        <x:f>IF(M13="","",ROUNDUP(M13/230,0))</x:f>
      </x:c>
      <x:c r="O13" s="30" t="str">
        <x:f>IF(A13="","",COUNTIF('04_MAPA_ARGUMENTOS'!$B$7:$B$80,A13))</x:f>
      </x:c>
      <x:c r="P13" s="30" t="str">
        <x:f>IF(A13="","",COUNTIFS('04_MAPA_ARGUMENTOS'!$B$7:$B$80,A13,'04_MAPA_ARGUMENTOS'!$G$7:$G$80,"&lt;&gt;"))</x:f>
      </x:c>
      <x:c r="Q13" s="36" t="str">
        <x:f>IF(OR(O13="",O13=0),"",P13/O13)</x:f>
      </x:c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 t="str">
        <x:f>IF(B14="","",LEN(B14))</x:f>
      </x:c>
      <x:c r="L14" s="30" t="str">
        <x:f>IF(A14="","",LEN(F14&amp;G14&amp;H14&amp;I14&amp;J14))</x:f>
      </x:c>
      <x:c r="M14" s="30" t="str">
        <x:f>IF(TRIM(F14&amp;" "&amp;G14&amp;" "&amp;H14&amp;" "&amp;I14&amp;" "&amp;J14)="","",LEN(TRIM(F14&amp;" "&amp;G14&amp;" "&amp;H14&amp;" "&amp;I14&amp;" "&amp;J14))-LEN(SUBSTITUTE(TRIM(F14&amp;" "&amp;G14&amp;" "&amp;H14&amp;" "&amp;I14&amp;" "&amp;J14)," ",""))+1)</x:f>
      </x:c>
      <x:c r="N14" s="30" t="str">
        <x:f>IF(M14="","",ROUNDUP(M14/230,0))</x:f>
      </x:c>
      <x:c r="O14" s="30" t="str">
        <x:f>IF(A14="","",COUNTIF('04_MAPA_ARGUMENTOS'!$B$7:$B$80,A14))</x:f>
      </x:c>
      <x:c r="P14" s="30" t="str">
        <x:f>IF(A14="","",COUNTIFS('04_MAPA_ARGUMENTOS'!$B$7:$B$80,A14,'04_MAPA_ARGUMENTOS'!$G$7:$G$80,"&lt;&gt;"))</x:f>
      </x:c>
      <x:c r="Q14" s="36" t="str">
        <x:f>IF(OR(O14="",O14=0),"",P14/O14)</x:f>
      </x:c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 t="str">
        <x:f>IF(B15="","",LEN(B15))</x:f>
      </x:c>
      <x:c r="L15" s="30" t="str">
        <x:f>IF(A15="","",LEN(F15&amp;G15&amp;H15&amp;I15&amp;J15))</x:f>
      </x:c>
      <x:c r="M15" s="30" t="str">
        <x:f>IF(TRIM(F15&amp;" "&amp;G15&amp;" "&amp;H15&amp;" "&amp;I15&amp;" "&amp;J15)="","",LEN(TRIM(F15&amp;" "&amp;G15&amp;" "&amp;H15&amp;" "&amp;I15&amp;" "&amp;J15))-LEN(SUBSTITUTE(TRIM(F15&amp;" "&amp;G15&amp;" "&amp;H15&amp;" "&amp;I15&amp;" "&amp;J15)," ",""))+1)</x:f>
      </x:c>
      <x:c r="N15" s="30" t="str">
        <x:f>IF(M15="","",ROUNDUP(M15/230,0))</x:f>
      </x:c>
      <x:c r="O15" s="30" t="str">
        <x:f>IF(A15="","",COUNTIF('04_MAPA_ARGUMENTOS'!$B$7:$B$80,A15))</x:f>
      </x:c>
      <x:c r="P15" s="30" t="str">
        <x:f>IF(A15="","",COUNTIFS('04_MAPA_ARGUMENTOS'!$B$7:$B$80,A15,'04_MAPA_ARGUMENTOS'!$G$7:$G$80,"&lt;&gt;"))</x:f>
      </x:c>
      <x:c r="Q15" s="36" t="str">
        <x:f>IF(OR(O15="",O15=0),"",P15/O15)</x:f>
      </x:c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 t="str">
        <x:f>IF(B16="","",LEN(B16))</x:f>
      </x:c>
      <x:c r="L16" s="30" t="str">
        <x:f>IF(A16="","",LEN(F16&amp;G16&amp;H16&amp;I16&amp;J16))</x:f>
      </x:c>
      <x:c r="M16" s="30" t="str">
        <x:f>IF(TRIM(F16&amp;" "&amp;G16&amp;" "&amp;H16&amp;" "&amp;I16&amp;" "&amp;J16)="","",LEN(TRIM(F16&amp;" "&amp;G16&amp;" "&amp;H16&amp;" "&amp;I16&amp;" "&amp;J16))-LEN(SUBSTITUTE(TRIM(F16&amp;" "&amp;G16&amp;" "&amp;H16&amp;" "&amp;I16&amp;" "&amp;J16)," ",""))+1)</x:f>
      </x:c>
      <x:c r="N16" s="30" t="str">
        <x:f>IF(M16="","",ROUNDUP(M16/230,0))</x:f>
      </x:c>
      <x:c r="O16" s="30" t="str">
        <x:f>IF(A16="","",COUNTIF('04_MAPA_ARGUMENTOS'!$B$7:$B$80,A16))</x:f>
      </x:c>
      <x:c r="P16" s="30" t="str">
        <x:f>IF(A16="","",COUNTIFS('04_MAPA_ARGUMENTOS'!$B$7:$B$80,A16,'04_MAPA_ARGUMENTOS'!$G$7:$G$80,"&lt;&gt;"))</x:f>
      </x:c>
      <x:c r="Q16" s="36" t="str">
        <x:f>IF(OR(O16="",O16=0),"",P16/O16)</x:f>
      </x:c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 t="str">
        <x:f>IF(B17="","",LEN(B17))</x:f>
      </x:c>
      <x:c r="L17" s="30" t="str">
        <x:f>IF(A17="","",LEN(F17&amp;G17&amp;H17&amp;I17&amp;J17))</x:f>
      </x:c>
      <x:c r="M17" s="30" t="str">
        <x:f>IF(TRIM(F17&amp;" "&amp;G17&amp;" "&amp;H17&amp;" "&amp;I17&amp;" "&amp;J17)="","",LEN(TRIM(F17&amp;" "&amp;G17&amp;" "&amp;H17&amp;" "&amp;I17&amp;" "&amp;J17))-LEN(SUBSTITUTE(TRIM(F17&amp;" "&amp;G17&amp;" "&amp;H17&amp;" "&amp;I17&amp;" "&amp;J17)," ",""))+1)</x:f>
      </x:c>
      <x:c r="N17" s="30" t="str">
        <x:f>IF(M17="","",ROUNDUP(M17/230,0))</x:f>
      </x:c>
      <x:c r="O17" s="30" t="str">
        <x:f>IF(A17="","",COUNTIF('04_MAPA_ARGUMENTOS'!$B$7:$B$80,A17))</x:f>
      </x:c>
      <x:c r="P17" s="30" t="str">
        <x:f>IF(A17="","",COUNTIFS('04_MAPA_ARGUMENTOS'!$B$7:$B$80,A17,'04_MAPA_ARGUMENTOS'!$G$7:$G$80,"&lt;&gt;"))</x:f>
      </x:c>
      <x:c r="Q17" s="36" t="str">
        <x:f>IF(OR(O17="",O17=0),"",P17/O17)</x:f>
      </x:c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 t="str">
        <x:f>IF(B18="","",LEN(B18))</x:f>
      </x:c>
      <x:c r="L18" s="30" t="str">
        <x:f>IF(A18="","",LEN(F18&amp;G18&amp;H18&amp;I18&amp;J18))</x:f>
      </x:c>
      <x:c r="M18" s="30" t="str">
        <x:f>IF(TRIM(F18&amp;" "&amp;G18&amp;" "&amp;H18&amp;" "&amp;I18&amp;" "&amp;J18)="","",LEN(TRIM(F18&amp;" "&amp;G18&amp;" "&amp;H18&amp;" "&amp;I18&amp;" "&amp;J18))-LEN(SUBSTITUTE(TRIM(F18&amp;" "&amp;G18&amp;" "&amp;H18&amp;" "&amp;I18&amp;" "&amp;J18)," ",""))+1)</x:f>
      </x:c>
      <x:c r="N18" s="30" t="str">
        <x:f>IF(M18="","",ROUNDUP(M18/230,0))</x:f>
      </x:c>
      <x:c r="O18" s="30" t="str">
        <x:f>IF(A18="","",COUNTIF('04_MAPA_ARGUMENTOS'!$B$7:$B$80,A18))</x:f>
      </x:c>
      <x:c r="P18" s="30" t="str">
        <x:f>IF(A18="","",COUNTIFS('04_MAPA_ARGUMENTOS'!$B$7:$B$80,A18,'04_MAPA_ARGUMENTOS'!$G$7:$G$80,"&lt;&gt;"))</x:f>
      </x:c>
      <x:c r="Q18" s="36" t="str">
        <x:f>IF(OR(O18="",O18=0),"",P18/O18)</x:f>
      </x:c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 t="str">
        <x:f>IF(B19="","",LEN(B19))</x:f>
      </x:c>
      <x:c r="L19" s="30" t="str">
        <x:f>IF(A19="","",LEN(F19&amp;G19&amp;H19&amp;I19&amp;J19))</x:f>
      </x:c>
      <x:c r="M19" s="30" t="str">
        <x:f>IF(TRIM(F19&amp;" "&amp;G19&amp;" "&amp;H19&amp;" "&amp;I19&amp;" "&amp;J19)="","",LEN(TRIM(F19&amp;" "&amp;G19&amp;" "&amp;H19&amp;" "&amp;I19&amp;" "&amp;J19))-LEN(SUBSTITUTE(TRIM(F19&amp;" "&amp;G19&amp;" "&amp;H19&amp;" "&amp;I19&amp;" "&amp;J19)," ",""))+1)</x:f>
      </x:c>
      <x:c r="N19" s="30" t="str">
        <x:f>IF(M19="","",ROUNDUP(M19/230,0))</x:f>
      </x:c>
      <x:c r="O19" s="30" t="str">
        <x:f>IF(A19="","",COUNTIF('04_MAPA_ARGUMENTOS'!$B$7:$B$80,A19))</x:f>
      </x:c>
      <x:c r="P19" s="30" t="str">
        <x:f>IF(A19="","",COUNTIFS('04_MAPA_ARGUMENTOS'!$B$7:$B$80,A19,'04_MAPA_ARGUMENTOS'!$G$7:$G$80,"&lt;&gt;"))</x:f>
      </x:c>
      <x:c r="Q19" s="36" t="str">
        <x:f>IF(OR(O19="",O19=0),"",P19/O19)</x:f>
      </x:c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 t="str">
        <x:f>IF(B20="","",LEN(B20))</x:f>
      </x:c>
      <x:c r="L20" s="30" t="str">
        <x:f>IF(A20="","",LEN(F20&amp;G20&amp;H20&amp;I20&amp;J20))</x:f>
      </x:c>
      <x:c r="M20" s="30" t="str">
        <x:f>IF(TRIM(F20&amp;" "&amp;G20&amp;" "&amp;H20&amp;" "&amp;I20&amp;" "&amp;J20)="","",LEN(TRIM(F20&amp;" "&amp;G20&amp;" "&amp;H20&amp;" "&amp;I20&amp;" "&amp;J20))-LEN(SUBSTITUTE(TRIM(F20&amp;" "&amp;G20&amp;" "&amp;H20&amp;" "&amp;I20&amp;" "&amp;J20)," ",""))+1)</x:f>
      </x:c>
      <x:c r="N20" s="30" t="str">
        <x:f>IF(M20="","",ROUNDUP(M20/230,0))</x:f>
      </x:c>
      <x:c r="O20" s="30" t="str">
        <x:f>IF(A20="","",COUNTIF('04_MAPA_ARGUMENTOS'!$B$7:$B$80,A20))</x:f>
      </x:c>
      <x:c r="P20" s="30" t="str">
        <x:f>IF(A20="","",COUNTIFS('04_MAPA_ARGUMENTOS'!$B$7:$B$80,A20,'04_MAPA_ARGUMENTOS'!$G$7:$G$80,"&lt;&gt;"))</x:f>
      </x:c>
      <x:c r="Q20" s="36" t="str">
        <x:f>IF(OR(O20="",O20=0),"",P20/O20)</x:f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 t="str">
        <x:f>IF(B21="","",LEN(B21))</x:f>
      </x:c>
      <x:c r="L21" s="30" t="str">
        <x:f>IF(A21="","",LEN(F21&amp;G21&amp;H21&amp;I21&amp;J21))</x:f>
      </x:c>
      <x:c r="M21" s="30" t="str">
        <x:f>IF(TRIM(F21&amp;" "&amp;G21&amp;" "&amp;H21&amp;" "&amp;I21&amp;" "&amp;J21)="","",LEN(TRIM(F21&amp;" "&amp;G21&amp;" "&amp;H21&amp;" "&amp;I21&amp;" "&amp;J21))-LEN(SUBSTITUTE(TRIM(F21&amp;" "&amp;G21&amp;" "&amp;H21&amp;" "&amp;I21&amp;" "&amp;J21)," ",""))+1)</x:f>
      </x:c>
      <x:c r="N21" s="30" t="str">
        <x:f>IF(M21="","",ROUNDUP(M21/230,0))</x:f>
      </x:c>
      <x:c r="O21" s="30" t="str">
        <x:f>IF(A21="","",COUNTIF('04_MAPA_ARGUMENTOS'!$B$7:$B$80,A21))</x:f>
      </x:c>
      <x:c r="P21" s="30" t="str">
        <x:f>IF(A21="","",COUNTIFS('04_MAPA_ARGUMENTOS'!$B$7:$B$80,A21,'04_MAPA_ARGUMENTOS'!$G$7:$G$80,"&lt;&gt;"))</x:f>
      </x:c>
      <x:c r="Q21" s="36" t="str">
        <x:f>IF(OR(O21="",O21=0),"",P21/O21)</x:f>
      </x:c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 t="str">
        <x:f>IF(B22="","",LEN(B22))</x:f>
      </x:c>
      <x:c r="L22" s="30" t="str">
        <x:f>IF(A22="","",LEN(F22&amp;G22&amp;H22&amp;I22&amp;J22))</x:f>
      </x:c>
      <x:c r="M22" s="30" t="str">
        <x:f>IF(TRIM(F22&amp;" "&amp;G22&amp;" "&amp;H22&amp;" "&amp;I22&amp;" "&amp;J22)="","",LEN(TRIM(F22&amp;" "&amp;G22&amp;" "&amp;H22&amp;" "&amp;I22&amp;" "&amp;J22))-LEN(SUBSTITUTE(TRIM(F22&amp;" "&amp;G22&amp;" "&amp;H22&amp;" "&amp;I22&amp;" "&amp;J22)," ",""))+1)</x:f>
      </x:c>
      <x:c r="N22" s="30" t="str">
        <x:f>IF(M22="","",ROUNDUP(M22/230,0))</x:f>
      </x:c>
      <x:c r="O22" s="30" t="str">
        <x:f>IF(A22="","",COUNTIF('04_MAPA_ARGUMENTOS'!$B$7:$B$80,A22))</x:f>
      </x:c>
      <x:c r="P22" s="30" t="str">
        <x:f>IF(A22="","",COUNTIFS('04_MAPA_ARGUMENTOS'!$B$7:$B$80,A22,'04_MAPA_ARGUMENTOS'!$G$7:$G$80,"&lt;&gt;"))</x:f>
      </x:c>
      <x:c r="Q22" s="36" t="str">
        <x:f>IF(OR(O22="",O22=0),"",P22/O22)</x:f>
      </x:c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 t="str">
        <x:f>IF(B23="","",LEN(B23))</x:f>
      </x:c>
      <x:c r="L23" s="30" t="str">
        <x:f>IF(A23="","",LEN(F23&amp;G23&amp;H23&amp;I23&amp;J23))</x:f>
      </x:c>
      <x:c r="M23" s="30" t="str">
        <x:f>IF(TRIM(F23&amp;" "&amp;G23&amp;" "&amp;H23&amp;" "&amp;I23&amp;" "&amp;J23)="","",LEN(TRIM(F23&amp;" "&amp;G23&amp;" "&amp;H23&amp;" "&amp;I23&amp;" "&amp;J23))-LEN(SUBSTITUTE(TRIM(F23&amp;" "&amp;G23&amp;" "&amp;H23&amp;" "&amp;I23&amp;" "&amp;J23)," ",""))+1)</x:f>
      </x:c>
      <x:c r="N23" s="30" t="str">
        <x:f>IF(M23="","",ROUNDUP(M23/230,0))</x:f>
      </x:c>
      <x:c r="O23" s="30" t="str">
        <x:f>IF(A23="","",COUNTIF('04_MAPA_ARGUMENTOS'!$B$7:$B$80,A23))</x:f>
      </x:c>
      <x:c r="P23" s="30" t="str">
        <x:f>IF(A23="","",COUNTIFS('04_MAPA_ARGUMENTOS'!$B$7:$B$80,A23,'04_MAPA_ARGUMENTOS'!$G$7:$G$80,"&lt;&gt;"))</x:f>
      </x:c>
      <x:c r="Q23" s="36" t="str">
        <x:f>IF(OR(O23="",O23=0),"",P23/O23)</x:f>
      </x:c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 t="str">
        <x:f>IF(B24="","",LEN(B24))</x:f>
      </x:c>
      <x:c r="L24" s="30" t="str">
        <x:f>IF(A24="","",LEN(F24&amp;G24&amp;H24&amp;I24&amp;J24))</x:f>
      </x:c>
      <x:c r="M24" s="30" t="str">
        <x:f>IF(TRIM(F24&amp;" "&amp;G24&amp;" "&amp;H24&amp;" "&amp;I24&amp;" "&amp;J24)="","",LEN(TRIM(F24&amp;" "&amp;G24&amp;" "&amp;H24&amp;" "&amp;I24&amp;" "&amp;J24))-LEN(SUBSTITUTE(TRIM(F24&amp;" "&amp;G24&amp;" "&amp;H24&amp;" "&amp;I24&amp;" "&amp;J24)," ",""))+1)</x:f>
      </x:c>
      <x:c r="N24" s="30" t="str">
        <x:f>IF(M24="","",ROUNDUP(M24/230,0))</x:f>
      </x:c>
      <x:c r="O24" s="30" t="str">
        <x:f>IF(A24="","",COUNTIF('04_MAPA_ARGUMENTOS'!$B$7:$B$80,A24))</x:f>
      </x:c>
      <x:c r="P24" s="30" t="str">
        <x:f>IF(A24="","",COUNTIFS('04_MAPA_ARGUMENTOS'!$B$7:$B$80,A24,'04_MAPA_ARGUMENTOS'!$G$7:$G$80,"&lt;&gt;"))</x:f>
      </x:c>
      <x:c r="Q24" s="36" t="str">
        <x:f>IF(OR(O24="",O24=0),"",P24/O24)</x:f>
      </x:c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 t="str">
        <x:f>IF(B25="","",LEN(B25))</x:f>
      </x:c>
      <x:c r="L25" s="30" t="str">
        <x:f>IF(A25="","",LEN(F25&amp;G25&amp;H25&amp;I25&amp;J25))</x:f>
      </x:c>
      <x:c r="M25" s="30" t="str">
        <x:f>IF(TRIM(F25&amp;" "&amp;G25&amp;" "&amp;H25&amp;" "&amp;I25&amp;" "&amp;J25)="","",LEN(TRIM(F25&amp;" "&amp;G25&amp;" "&amp;H25&amp;" "&amp;I25&amp;" "&amp;J25))-LEN(SUBSTITUTE(TRIM(F25&amp;" "&amp;G25&amp;" "&amp;H25&amp;" "&amp;I25&amp;" "&amp;J25)," ",""))+1)</x:f>
      </x:c>
      <x:c r="N25" s="30" t="str">
        <x:f>IF(M25="","",ROUNDUP(M25/230,0))</x:f>
      </x:c>
      <x:c r="O25" s="30" t="str">
        <x:f>IF(A25="","",COUNTIF('04_MAPA_ARGUMENTOS'!$B$7:$B$80,A25))</x:f>
      </x:c>
      <x:c r="P25" s="30" t="str">
        <x:f>IF(A25="","",COUNTIFS('04_MAPA_ARGUMENTOS'!$B$7:$B$80,A25,'04_MAPA_ARGUMENTOS'!$G$7:$G$80,"&lt;&gt;"))</x:f>
      </x:c>
      <x:c r="Q25" s="36" t="str">
        <x:f>IF(OR(O25="",O25=0),"",P25/O25)</x:f>
      </x:c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 t="str">
        <x:f>IF(B26="","",LEN(B26))</x:f>
      </x:c>
      <x:c r="L26" s="30" t="str">
        <x:f>IF(A26="","",LEN(F26&amp;G26&amp;H26&amp;I26&amp;J26))</x:f>
      </x:c>
      <x:c r="M26" s="30" t="str">
        <x:f>IF(TRIM(F26&amp;" "&amp;G26&amp;" "&amp;H26&amp;" "&amp;I26&amp;" "&amp;J26)="","",LEN(TRIM(F26&amp;" "&amp;G26&amp;" "&amp;H26&amp;" "&amp;I26&amp;" "&amp;J26))-LEN(SUBSTITUTE(TRIM(F26&amp;" "&amp;G26&amp;" "&amp;H26&amp;" "&amp;I26&amp;" "&amp;J26)," ",""))+1)</x:f>
      </x:c>
      <x:c r="N26" s="30" t="str">
        <x:f>IF(M26="","",ROUNDUP(M26/230,0))</x:f>
      </x:c>
      <x:c r="O26" s="30" t="str">
        <x:f>IF(A26="","",COUNTIF('04_MAPA_ARGUMENTOS'!$B$7:$B$80,A26))</x:f>
      </x:c>
      <x:c r="P26" s="30" t="str">
        <x:f>IF(A26="","",COUNTIFS('04_MAPA_ARGUMENTOS'!$B$7:$B$80,A26,'04_MAPA_ARGUMENTOS'!$G$7:$G$80,"&lt;&gt;"))</x:f>
      </x:c>
      <x:c r="Q26" s="36" t="str">
        <x:f>IF(OR(O26="",O26=0),"",P26/O26)</x:f>
      </x:c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 t="str">
        <x:f>IF(B27="","",LEN(B27))</x:f>
      </x:c>
      <x:c r="L27" s="30" t="str">
        <x:f>IF(A27="","",LEN(F27&amp;G27&amp;H27&amp;I27&amp;J27))</x:f>
      </x:c>
      <x:c r="M27" s="30" t="str">
        <x:f>IF(TRIM(F27&amp;" "&amp;G27&amp;" "&amp;H27&amp;" "&amp;I27&amp;" "&amp;J27)="","",LEN(TRIM(F27&amp;" "&amp;G27&amp;" "&amp;H27&amp;" "&amp;I27&amp;" "&amp;J27))-LEN(SUBSTITUTE(TRIM(F27&amp;" "&amp;G27&amp;" "&amp;H27&amp;" "&amp;I27&amp;" "&amp;J27)," ",""))+1)</x:f>
      </x:c>
      <x:c r="N27" s="30" t="str">
        <x:f>IF(M27="","",ROUNDUP(M27/230,0))</x:f>
      </x:c>
      <x:c r="O27" s="30" t="str">
        <x:f>IF(A27="","",COUNTIF('04_MAPA_ARGUMENTOS'!$B$7:$B$80,A27))</x:f>
      </x:c>
      <x:c r="P27" s="30" t="str">
        <x:f>IF(A27="","",COUNTIFS('04_MAPA_ARGUMENTOS'!$B$7:$B$80,A27,'04_MAPA_ARGUMENTOS'!$G$7:$G$80,"&lt;&gt;"))</x:f>
      </x:c>
      <x:c r="Q27" s="36" t="str">
        <x:f>IF(OR(O27="",O27=0),"",P27/O27)</x:f>
      </x:c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 t="str">
        <x:f>IF(B28="","",LEN(B28))</x:f>
      </x:c>
      <x:c r="L28" s="30" t="str">
        <x:f>IF(A28="","",LEN(F28&amp;G28&amp;H28&amp;I28&amp;J28))</x:f>
      </x:c>
      <x:c r="M28" s="30" t="str">
        <x:f>IF(TRIM(F28&amp;" "&amp;G28&amp;" "&amp;H28&amp;" "&amp;I28&amp;" "&amp;J28)="","",LEN(TRIM(F28&amp;" "&amp;G28&amp;" "&amp;H28&amp;" "&amp;I28&amp;" "&amp;J28))-LEN(SUBSTITUTE(TRIM(F28&amp;" "&amp;G28&amp;" "&amp;H28&amp;" "&amp;I28&amp;" "&amp;J28)," ",""))+1)</x:f>
      </x:c>
      <x:c r="N28" s="30" t="str">
        <x:f>IF(M28="","",ROUNDUP(M28/230,0))</x:f>
      </x:c>
      <x:c r="O28" s="30" t="str">
        <x:f>IF(A28="","",COUNTIF('04_MAPA_ARGUMENTOS'!$B$7:$B$80,A28))</x:f>
      </x:c>
      <x:c r="P28" s="30" t="str">
        <x:f>IF(A28="","",COUNTIFS('04_MAPA_ARGUMENTOS'!$B$7:$B$80,A28,'04_MAPA_ARGUMENTOS'!$G$7:$G$80,"&lt;&gt;"))</x:f>
      </x:c>
      <x:c r="Q28" s="36" t="str">
        <x:f>IF(OR(O28="",O28=0),"",P28/O28)</x:f>
      </x:c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 t="str">
        <x:f>IF(B29="","",LEN(B29))</x:f>
      </x:c>
      <x:c r="L29" s="30" t="str">
        <x:f>IF(A29="","",LEN(F29&amp;G29&amp;H29&amp;I29&amp;J29))</x:f>
      </x:c>
      <x:c r="M29" s="30" t="str">
        <x:f>IF(TRIM(F29&amp;" "&amp;G29&amp;" "&amp;H29&amp;" "&amp;I29&amp;" "&amp;J29)="","",LEN(TRIM(F29&amp;" "&amp;G29&amp;" "&amp;H29&amp;" "&amp;I29&amp;" "&amp;J29))-LEN(SUBSTITUTE(TRIM(F29&amp;" "&amp;G29&amp;" "&amp;H29&amp;" "&amp;I29&amp;" "&amp;J29)," ",""))+1)</x:f>
      </x:c>
      <x:c r="N29" s="30" t="str">
        <x:f>IF(M29="","",ROUNDUP(M29/230,0))</x:f>
      </x:c>
      <x:c r="O29" s="30" t="str">
        <x:f>IF(A29="","",COUNTIF('04_MAPA_ARGUMENTOS'!$B$7:$B$80,A29))</x:f>
      </x:c>
      <x:c r="P29" s="30" t="str">
        <x:f>IF(A29="","",COUNTIFS('04_MAPA_ARGUMENTOS'!$B$7:$B$80,A29,'04_MAPA_ARGUMENTOS'!$G$7:$G$80,"&lt;&gt;"))</x:f>
      </x:c>
      <x:c r="Q29" s="36" t="str">
        <x:f>IF(OR(O29="",O29=0),"",P29/O29)</x:f>
      </x:c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 t="str">
        <x:f>IF(B30="","",LEN(B30))</x:f>
      </x:c>
      <x:c r="L30" s="30" t="str">
        <x:f>IF(A30="","",LEN(F30&amp;G30&amp;H30&amp;I30&amp;J30))</x:f>
      </x:c>
      <x:c r="M30" s="30" t="str">
        <x:f>IF(TRIM(F30&amp;" "&amp;G30&amp;" "&amp;H30&amp;" "&amp;I30&amp;" "&amp;J30)="","",LEN(TRIM(F30&amp;" "&amp;G30&amp;" "&amp;H30&amp;" "&amp;I30&amp;" "&amp;J30))-LEN(SUBSTITUTE(TRIM(F30&amp;" "&amp;G30&amp;" "&amp;H30&amp;" "&amp;I30&amp;" "&amp;J30)," ",""))+1)</x:f>
      </x:c>
      <x:c r="N30" s="30" t="str">
        <x:f>IF(M30="","",ROUNDUP(M30/230,0))</x:f>
      </x:c>
      <x:c r="O30" s="30" t="str">
        <x:f>IF(A30="","",COUNTIF('04_MAPA_ARGUMENTOS'!$B$7:$B$80,A30))</x:f>
      </x:c>
      <x:c r="P30" s="30" t="str">
        <x:f>IF(A30="","",COUNTIFS('04_MAPA_ARGUMENTOS'!$B$7:$B$80,A30,'04_MAPA_ARGUMENTOS'!$G$7:$G$80,"&lt;&gt;"))</x:f>
      </x:c>
      <x:c r="Q30" s="36" t="str">
        <x:f>IF(OR(O30="",O30=0),"",P30/O30)</x:f>
      </x:c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 t="str">
        <x:f>IF(B31="","",LEN(B31))</x:f>
      </x:c>
      <x:c r="L31" s="30" t="str">
        <x:f>IF(A31="","",LEN(F31&amp;G31&amp;H31&amp;I31&amp;J31))</x:f>
      </x:c>
      <x:c r="M31" s="30" t="str">
        <x:f>IF(TRIM(F31&amp;" "&amp;G31&amp;" "&amp;H31&amp;" "&amp;I31&amp;" "&amp;J31)="","",LEN(TRIM(F31&amp;" "&amp;G31&amp;" "&amp;H31&amp;" "&amp;I31&amp;" "&amp;J31))-LEN(SUBSTITUTE(TRIM(F31&amp;" "&amp;G31&amp;" "&amp;H31&amp;" "&amp;I31&amp;" "&amp;J31)," ",""))+1)</x:f>
      </x:c>
      <x:c r="N31" s="30" t="str">
        <x:f>IF(M31="","",ROUNDUP(M31/230,0))</x:f>
      </x:c>
      <x:c r="O31" s="30" t="str">
        <x:f>IF(A31="","",COUNTIF('04_MAPA_ARGUMENTOS'!$B$7:$B$80,A31))</x:f>
      </x:c>
      <x:c r="P31" s="30" t="str">
        <x:f>IF(A31="","",COUNTIFS('04_MAPA_ARGUMENTOS'!$B$7:$B$80,A31,'04_MAPA_ARGUMENTOS'!$G$7:$G$80,"&lt;&gt;"))</x:f>
      </x:c>
      <x:c r="Q31" s="36" t="str">
        <x:f>IF(OR(O31="",O31=0),"",P31/O31)</x:f>
      </x:c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 t="str">
        <x:f>IF(B32="","",LEN(B32))</x:f>
      </x:c>
      <x:c r="L32" s="30" t="str">
        <x:f>IF(A32="","",LEN(F32&amp;G32&amp;H32&amp;I32&amp;J32))</x:f>
      </x:c>
      <x:c r="M32" s="30" t="str">
        <x:f>IF(TRIM(F32&amp;" "&amp;G32&amp;" "&amp;H32&amp;" "&amp;I32&amp;" "&amp;J32)="","",LEN(TRIM(F32&amp;" "&amp;G32&amp;" "&amp;H32&amp;" "&amp;I32&amp;" "&amp;J32))-LEN(SUBSTITUTE(TRIM(F32&amp;" "&amp;G32&amp;" "&amp;H32&amp;" "&amp;I32&amp;" "&amp;J32)," ",""))+1)</x:f>
      </x:c>
      <x:c r="N32" s="30" t="str">
        <x:f>IF(M32="","",ROUNDUP(M32/230,0))</x:f>
      </x:c>
      <x:c r="O32" s="30" t="str">
        <x:f>IF(A32="","",COUNTIF('04_MAPA_ARGUMENTOS'!$B$7:$B$80,A32))</x:f>
      </x:c>
      <x:c r="P32" s="30" t="str">
        <x:f>IF(A32="","",COUNTIFS('04_MAPA_ARGUMENTOS'!$B$7:$B$80,A32,'04_MAPA_ARGUMENTOS'!$G$7:$G$80,"&lt;&gt;"))</x:f>
      </x:c>
      <x:c r="Q32" s="36" t="str">
        <x:f>IF(OR(O32="",O32=0),"",P32/O32)</x:f>
      </x:c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 t="str">
        <x:f>IF(B33="","",LEN(B33))</x:f>
      </x:c>
      <x:c r="L33" s="30" t="str">
        <x:f>IF(A33="","",LEN(F33&amp;G33&amp;H33&amp;I33&amp;J33))</x:f>
      </x:c>
      <x:c r="M33" s="30" t="str">
        <x:f>IF(TRIM(F33&amp;" "&amp;G33&amp;" "&amp;H33&amp;" "&amp;I33&amp;" "&amp;J33)="","",LEN(TRIM(F33&amp;" "&amp;G33&amp;" "&amp;H33&amp;" "&amp;I33&amp;" "&amp;J33))-LEN(SUBSTITUTE(TRIM(F33&amp;" "&amp;G33&amp;" "&amp;H33&amp;" "&amp;I33&amp;" "&amp;J33)," ",""))+1)</x:f>
      </x:c>
      <x:c r="N33" s="30" t="str">
        <x:f>IF(M33="","",ROUNDUP(M33/230,0))</x:f>
      </x:c>
      <x:c r="O33" s="30" t="str">
        <x:f>IF(A33="","",COUNTIF('04_MAPA_ARGUMENTOS'!$B$7:$B$80,A33))</x:f>
      </x:c>
      <x:c r="P33" s="30" t="str">
        <x:f>IF(A33="","",COUNTIFS('04_MAPA_ARGUMENTOS'!$B$7:$B$80,A33,'04_MAPA_ARGUMENTOS'!$G$7:$G$80,"&lt;&gt;"))</x:f>
      </x:c>
      <x:c r="Q33" s="36" t="str">
        <x:f>IF(OR(O33="",O33=0),"",P33/O33)</x:f>
      </x:c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 t="str">
        <x:f>IF(B34="","",LEN(B34))</x:f>
      </x:c>
      <x:c r="L34" s="30" t="str">
        <x:f>IF(A34="","",LEN(F34&amp;G34&amp;H34&amp;I34&amp;J34))</x:f>
      </x:c>
      <x:c r="M34" s="30" t="str">
        <x:f>IF(TRIM(F34&amp;" "&amp;G34&amp;" "&amp;H34&amp;" "&amp;I34&amp;" "&amp;J34)="","",LEN(TRIM(F34&amp;" "&amp;G34&amp;" "&amp;H34&amp;" "&amp;I34&amp;" "&amp;J34))-LEN(SUBSTITUTE(TRIM(F34&amp;" "&amp;G34&amp;" "&amp;H34&amp;" "&amp;I34&amp;" "&amp;J34)," ",""))+1)</x:f>
      </x:c>
      <x:c r="N34" s="30" t="str">
        <x:f>IF(M34="","",ROUNDUP(M34/230,0))</x:f>
      </x:c>
      <x:c r="O34" s="30" t="str">
        <x:f>IF(A34="","",COUNTIF('04_MAPA_ARGUMENTOS'!$B$7:$B$80,A34))</x:f>
      </x:c>
      <x:c r="P34" s="30" t="str">
        <x:f>IF(A34="","",COUNTIFS('04_MAPA_ARGUMENTOS'!$B$7:$B$80,A34,'04_MAPA_ARGUMENTOS'!$G$7:$G$80,"&lt;&gt;"))</x:f>
      </x:c>
      <x:c r="Q34" s="36" t="str">
        <x:f>IF(OR(O34="",O34=0),"",P34/O34)</x:f>
      </x:c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 t="str">
        <x:f>IF(B35="","",LEN(B35))</x:f>
      </x:c>
      <x:c r="L35" s="30" t="str">
        <x:f>IF(A35="","",LEN(F35&amp;G35&amp;H35&amp;I35&amp;J35))</x:f>
      </x:c>
      <x:c r="M35" s="30" t="str">
        <x:f>IF(TRIM(F35&amp;" "&amp;G35&amp;" "&amp;H35&amp;" "&amp;I35&amp;" "&amp;J35)="","",LEN(TRIM(F35&amp;" "&amp;G35&amp;" "&amp;H35&amp;" "&amp;I35&amp;" "&amp;J35))-LEN(SUBSTITUTE(TRIM(F35&amp;" "&amp;G35&amp;" "&amp;H35&amp;" "&amp;I35&amp;" "&amp;J35)," ",""))+1)</x:f>
      </x:c>
      <x:c r="N35" s="30" t="str">
        <x:f>IF(M35="","",ROUNDUP(M35/230,0))</x:f>
      </x:c>
      <x:c r="O35" s="30" t="str">
        <x:f>IF(A35="","",COUNTIF('04_MAPA_ARGUMENTOS'!$B$7:$B$80,A35))</x:f>
      </x:c>
      <x:c r="P35" s="30" t="str">
        <x:f>IF(A35="","",COUNTIFS('04_MAPA_ARGUMENTOS'!$B$7:$B$80,A35,'04_MAPA_ARGUMENTOS'!$G$7:$G$80,"&lt;&gt;"))</x:f>
      </x:c>
      <x:c r="Q35" s="36" t="str">
        <x:f>IF(OR(O35="",O35=0),"",P35/O35)</x:f>
      </x:c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 t="str">
        <x:f>IF(B36="","",LEN(B36))</x:f>
      </x:c>
      <x:c r="L36" s="30" t="str">
        <x:f>IF(A36="","",LEN(F36&amp;G36&amp;H36&amp;I36&amp;J36))</x:f>
      </x:c>
      <x:c r="M36" s="30" t="str">
        <x:f>IF(TRIM(F36&amp;" "&amp;G36&amp;" "&amp;H36&amp;" "&amp;I36&amp;" "&amp;J36)="","",LEN(TRIM(F36&amp;" "&amp;G36&amp;" "&amp;H36&amp;" "&amp;I36&amp;" "&amp;J36))-LEN(SUBSTITUTE(TRIM(F36&amp;" "&amp;G36&amp;" "&amp;H36&amp;" "&amp;I36&amp;" "&amp;J36)," ",""))+1)</x:f>
      </x:c>
      <x:c r="N36" s="30" t="str">
        <x:f>IF(M36="","",ROUNDUP(M36/230,0))</x:f>
      </x:c>
      <x:c r="O36" s="30" t="str">
        <x:f>IF(A36="","",COUNTIF('04_MAPA_ARGUMENTOS'!$B$7:$B$80,A36))</x:f>
      </x:c>
      <x:c r="P36" s="30" t="str">
        <x:f>IF(A36="","",COUNTIFS('04_MAPA_ARGUMENTOS'!$B$7:$B$80,A36,'04_MAPA_ARGUMENTOS'!$G$7:$G$80,"&lt;&gt;"))</x:f>
      </x:c>
      <x:c r="Q36" s="36" t="str">
        <x:f>IF(OR(O36="",O36=0),"",P36/O36)</x:f>
      </x:c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 t="str">
        <x:f>IF(B37="","",LEN(B37))</x:f>
      </x:c>
      <x:c r="L37" s="30" t="str">
        <x:f>IF(A37="","",LEN(F37&amp;G37&amp;H37&amp;I37&amp;J37))</x:f>
      </x:c>
      <x:c r="M37" s="30" t="str">
        <x:f>IF(TRIM(F37&amp;" "&amp;G37&amp;" "&amp;H37&amp;" "&amp;I37&amp;" "&amp;J37)="","",LEN(TRIM(F37&amp;" "&amp;G37&amp;" "&amp;H37&amp;" "&amp;I37&amp;" "&amp;J37))-LEN(SUBSTITUTE(TRIM(F37&amp;" "&amp;G37&amp;" "&amp;H37&amp;" "&amp;I37&amp;" "&amp;J37)," ",""))+1)</x:f>
      </x:c>
      <x:c r="N37" s="30" t="str">
        <x:f>IF(M37="","",ROUNDUP(M37/230,0))</x:f>
      </x:c>
      <x:c r="O37" s="30" t="str">
        <x:f>IF(A37="","",COUNTIF('04_MAPA_ARGUMENTOS'!$B$7:$B$80,A37))</x:f>
      </x:c>
      <x:c r="P37" s="30" t="str">
        <x:f>IF(A37="","",COUNTIFS('04_MAPA_ARGUMENTOS'!$B$7:$B$80,A37,'04_MAPA_ARGUMENTOS'!$G$7:$G$80,"&lt;&gt;"))</x:f>
      </x:c>
      <x:c r="Q37" s="36" t="str">
        <x:f>IF(OR(O37="",O37=0),"",P37/O37)</x:f>
      </x:c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 t="str">
        <x:f>IF(B38="","",LEN(B38))</x:f>
      </x:c>
      <x:c r="L38" s="30" t="str">
        <x:f>IF(A38="","",LEN(F38&amp;G38&amp;H38&amp;I38&amp;J38))</x:f>
      </x:c>
      <x:c r="M38" s="30" t="str">
        <x:f>IF(TRIM(F38&amp;" "&amp;G38&amp;" "&amp;H38&amp;" "&amp;I38&amp;" "&amp;J38)="","",LEN(TRIM(F38&amp;" "&amp;G38&amp;" "&amp;H38&amp;" "&amp;I38&amp;" "&amp;J38))-LEN(SUBSTITUTE(TRIM(F38&amp;" "&amp;G38&amp;" "&amp;H38&amp;" "&amp;I38&amp;" "&amp;J38)," ",""))+1)</x:f>
      </x:c>
      <x:c r="N38" s="30" t="str">
        <x:f>IF(M38="","",ROUNDUP(M38/230,0))</x:f>
      </x:c>
      <x:c r="O38" s="30" t="str">
        <x:f>IF(A38="","",COUNTIF('04_MAPA_ARGUMENTOS'!$B$7:$B$80,A38))</x:f>
      </x:c>
      <x:c r="P38" s="30" t="str">
        <x:f>IF(A38="","",COUNTIFS('04_MAPA_ARGUMENTOS'!$B$7:$B$80,A38,'04_MAPA_ARGUMENTOS'!$G$7:$G$80,"&lt;&gt;"))</x:f>
      </x:c>
      <x:c r="Q38" s="36" t="str">
        <x:f>IF(OR(O38="",O38=0),"",P38/O38)</x:f>
      </x:c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 t="str">
        <x:f>IF(B39="","",LEN(B39))</x:f>
      </x:c>
      <x:c r="L39" s="30" t="str">
        <x:f>IF(A39="","",LEN(F39&amp;G39&amp;H39&amp;I39&amp;J39))</x:f>
      </x:c>
      <x:c r="M39" s="30" t="str">
        <x:f>IF(TRIM(F39&amp;" "&amp;G39&amp;" "&amp;H39&amp;" "&amp;I39&amp;" "&amp;J39)="","",LEN(TRIM(F39&amp;" "&amp;G39&amp;" "&amp;H39&amp;" "&amp;I39&amp;" "&amp;J39))-LEN(SUBSTITUTE(TRIM(F39&amp;" "&amp;G39&amp;" "&amp;H39&amp;" "&amp;I39&amp;" "&amp;J39)," ",""))+1)</x:f>
      </x:c>
      <x:c r="N39" s="30" t="str">
        <x:f>IF(M39="","",ROUNDUP(M39/230,0))</x:f>
      </x:c>
      <x:c r="O39" s="30" t="str">
        <x:f>IF(A39="","",COUNTIF('04_MAPA_ARGUMENTOS'!$B$7:$B$80,A39))</x:f>
      </x:c>
      <x:c r="P39" s="30" t="str">
        <x:f>IF(A39="","",COUNTIFS('04_MAPA_ARGUMENTOS'!$B$7:$B$80,A39,'04_MAPA_ARGUMENTOS'!$G$7:$G$80,"&lt;&gt;"))</x:f>
      </x:c>
      <x:c r="Q39" s="36" t="str">
        <x:f>IF(OR(O39="",O39=0),"",P39/O39)</x:f>
      </x:c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 t="str">
        <x:f>IF(B40="","",LEN(B40))</x:f>
      </x:c>
      <x:c r="L40" s="30" t="str">
        <x:f>IF(A40="","",LEN(F40&amp;G40&amp;H40&amp;I40&amp;J40))</x:f>
      </x:c>
      <x:c r="M40" s="30" t="str">
        <x:f>IF(TRIM(F40&amp;" "&amp;G40&amp;" "&amp;H40&amp;" "&amp;I40&amp;" "&amp;J40)="","",LEN(TRIM(F40&amp;" "&amp;G40&amp;" "&amp;H40&amp;" "&amp;I40&amp;" "&amp;J40))-LEN(SUBSTITUTE(TRIM(F40&amp;" "&amp;G40&amp;" "&amp;H40&amp;" "&amp;I40&amp;" "&amp;J40)," ",""))+1)</x:f>
      </x:c>
      <x:c r="N40" s="30" t="str">
        <x:f>IF(M40="","",ROUNDUP(M40/230,0))</x:f>
      </x:c>
      <x:c r="O40" s="30" t="str">
        <x:f>IF(A40="","",COUNTIF('04_MAPA_ARGUMENTOS'!$B$7:$B$80,A40))</x:f>
      </x:c>
      <x:c r="P40" s="30" t="str">
        <x:f>IF(A40="","",COUNTIFS('04_MAPA_ARGUMENTOS'!$B$7:$B$80,A40,'04_MAPA_ARGUMENTOS'!$G$7:$G$80,"&lt;&gt;"))</x:f>
      </x:c>
      <x:c r="Q40" s="36" t="str">
        <x:f>IF(OR(O40="",O40=0),"",P40/O40)</x:f>
      </x:c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 t="str">
        <x:f>IF(B41="","",LEN(B41))</x:f>
      </x:c>
      <x:c r="L41" s="30" t="str">
        <x:f>IF(A41="","",LEN(F41&amp;G41&amp;H41&amp;I41&amp;J41))</x:f>
      </x:c>
      <x:c r="M41" s="30" t="str">
        <x:f>IF(TRIM(F41&amp;" "&amp;G41&amp;" "&amp;H41&amp;" "&amp;I41&amp;" "&amp;J41)="","",LEN(TRIM(F41&amp;" "&amp;G41&amp;" "&amp;H41&amp;" "&amp;I41&amp;" "&amp;J41))-LEN(SUBSTITUTE(TRIM(F41&amp;" "&amp;G41&amp;" "&amp;H41&amp;" "&amp;I41&amp;" "&amp;J41)," ",""))+1)</x:f>
      </x:c>
      <x:c r="N41" s="30" t="str">
        <x:f>IF(M41="","",ROUNDUP(M41/230,0))</x:f>
      </x:c>
      <x:c r="O41" s="30" t="str">
        <x:f>IF(A41="","",COUNTIF('04_MAPA_ARGUMENTOS'!$B$7:$B$80,A41))</x:f>
      </x:c>
      <x:c r="P41" s="30" t="str">
        <x:f>IF(A41="","",COUNTIFS('04_MAPA_ARGUMENTOS'!$B$7:$B$80,A41,'04_MAPA_ARGUMENTOS'!$G$7:$G$80,"&lt;&gt;"))</x:f>
      </x:c>
      <x:c r="Q41" s="36" t="str">
        <x:f>IF(OR(O41="",O41=0),"",P41/O41)</x:f>
      </x:c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 t="str">
        <x:f>IF(B42="","",LEN(B42))</x:f>
      </x:c>
      <x:c r="L42" s="30" t="str">
        <x:f>IF(A42="","",LEN(F42&amp;G42&amp;H42&amp;I42&amp;J42))</x:f>
      </x:c>
      <x:c r="M42" s="30" t="str">
        <x:f>IF(TRIM(F42&amp;" "&amp;G42&amp;" "&amp;H42&amp;" "&amp;I42&amp;" "&amp;J42)="","",LEN(TRIM(F42&amp;" "&amp;G42&amp;" "&amp;H42&amp;" "&amp;I42&amp;" "&amp;J42))-LEN(SUBSTITUTE(TRIM(F42&amp;" "&amp;G42&amp;" "&amp;H42&amp;" "&amp;I42&amp;" "&amp;J42)," ",""))+1)</x:f>
      </x:c>
      <x:c r="N42" s="30" t="str">
        <x:f>IF(M42="","",ROUNDUP(M42/230,0))</x:f>
      </x:c>
      <x:c r="O42" s="30" t="str">
        <x:f>IF(A42="","",COUNTIF('04_MAPA_ARGUMENTOS'!$B$7:$B$80,A42))</x:f>
      </x:c>
      <x:c r="P42" s="30" t="str">
        <x:f>IF(A42="","",COUNTIFS('04_MAPA_ARGUMENTOS'!$B$7:$B$80,A42,'04_MAPA_ARGUMENTOS'!$G$7:$G$80,"&lt;&gt;"))</x:f>
      </x:c>
      <x:c r="Q42" s="36" t="str">
        <x:f>IF(OR(O42="",O42=0),"",P42/O42)</x:f>
      </x:c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 t="str">
        <x:f>IF(B43="","",LEN(B43))</x:f>
      </x:c>
      <x:c r="L43" s="30" t="str">
        <x:f>IF(A43="","",LEN(F43&amp;G43&amp;H43&amp;I43&amp;J43))</x:f>
      </x:c>
      <x:c r="M43" s="30" t="str">
        <x:f>IF(TRIM(F43&amp;" "&amp;G43&amp;" "&amp;H43&amp;" "&amp;I43&amp;" "&amp;J43)="","",LEN(TRIM(F43&amp;" "&amp;G43&amp;" "&amp;H43&amp;" "&amp;I43&amp;" "&amp;J43))-LEN(SUBSTITUTE(TRIM(F43&amp;" "&amp;G43&amp;" "&amp;H43&amp;" "&amp;I43&amp;" "&amp;J43)," ",""))+1)</x:f>
      </x:c>
      <x:c r="N43" s="30" t="str">
        <x:f>IF(M43="","",ROUNDUP(M43/230,0))</x:f>
      </x:c>
      <x:c r="O43" s="30" t="str">
        <x:f>IF(A43="","",COUNTIF('04_MAPA_ARGUMENTOS'!$B$7:$B$80,A43))</x:f>
      </x:c>
      <x:c r="P43" s="30" t="str">
        <x:f>IF(A43="","",COUNTIFS('04_MAPA_ARGUMENTOS'!$B$7:$B$80,A43,'04_MAPA_ARGUMENTOS'!$G$7:$G$80,"&lt;&gt;"))</x:f>
      </x:c>
      <x:c r="Q43" s="36" t="str">
        <x:f>IF(OR(O43="",O43=0),"",P43/O43)</x:f>
      </x:c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 t="str">
        <x:f>IF(B44="","",LEN(B44))</x:f>
      </x:c>
      <x:c r="L44" s="30" t="str">
        <x:f>IF(A44="","",LEN(F44&amp;G44&amp;H44&amp;I44&amp;J44))</x:f>
      </x:c>
      <x:c r="M44" s="30" t="str">
        <x:f>IF(TRIM(F44&amp;" "&amp;G44&amp;" "&amp;H44&amp;" "&amp;I44&amp;" "&amp;J44)="","",LEN(TRIM(F44&amp;" "&amp;G44&amp;" "&amp;H44&amp;" "&amp;I44&amp;" "&amp;J44))-LEN(SUBSTITUTE(TRIM(F44&amp;" "&amp;G44&amp;" "&amp;H44&amp;" "&amp;I44&amp;" "&amp;J44)," ",""))+1)</x:f>
      </x:c>
      <x:c r="N44" s="30" t="str">
        <x:f>IF(M44="","",ROUNDUP(M44/230,0))</x:f>
      </x:c>
      <x:c r="O44" s="30" t="str">
        <x:f>IF(A44="","",COUNTIF('04_MAPA_ARGUMENTOS'!$B$7:$B$80,A44))</x:f>
      </x:c>
      <x:c r="P44" s="30" t="str">
        <x:f>IF(A44="","",COUNTIFS('04_MAPA_ARGUMENTOS'!$B$7:$B$80,A44,'04_MAPA_ARGUMENTOS'!$G$7:$G$80,"&lt;&gt;"))</x:f>
      </x:c>
      <x:c r="Q44" s="36" t="str">
        <x:f>IF(OR(O44="",O44=0),"",P44/O44)</x:f>
      </x:c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 t="str">
        <x:f>IF(B45="","",LEN(B45))</x:f>
      </x:c>
      <x:c r="L45" s="30" t="str">
        <x:f>IF(A45="","",LEN(F45&amp;G45&amp;H45&amp;I45&amp;J45))</x:f>
      </x:c>
      <x:c r="M45" s="30" t="str">
        <x:f>IF(TRIM(F45&amp;" "&amp;G45&amp;" "&amp;H45&amp;" "&amp;I45&amp;" "&amp;J45)="","",LEN(TRIM(F45&amp;" "&amp;G45&amp;" "&amp;H45&amp;" "&amp;I45&amp;" "&amp;J45))-LEN(SUBSTITUTE(TRIM(F45&amp;" "&amp;G45&amp;" "&amp;H45&amp;" "&amp;I45&amp;" "&amp;J45)," ",""))+1)</x:f>
      </x:c>
      <x:c r="N45" s="30" t="str">
        <x:f>IF(M45="","",ROUNDUP(M45/230,0))</x:f>
      </x:c>
      <x:c r="O45" s="30" t="str">
        <x:f>IF(A45="","",COUNTIF('04_MAPA_ARGUMENTOS'!$B$7:$B$80,A45))</x:f>
      </x:c>
      <x:c r="P45" s="30" t="str">
        <x:f>IF(A45="","",COUNTIFS('04_MAPA_ARGUMENTOS'!$B$7:$B$80,A45,'04_MAPA_ARGUMENTOS'!$G$7:$G$80,"&lt;&gt;"))</x:f>
      </x:c>
      <x:c r="Q45" s="36" t="str">
        <x:f>IF(OR(O45="",O45=0),"",P45/O45)</x:f>
      </x:c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 t="str">
        <x:f>IF(B46="","",LEN(B46))</x:f>
      </x:c>
      <x:c r="L46" s="30" t="str">
        <x:f>IF(A46="","",LEN(F46&amp;G46&amp;H46&amp;I46&amp;J46))</x:f>
      </x:c>
      <x:c r="M46" s="30" t="str">
        <x:f>IF(TRIM(F46&amp;" "&amp;G46&amp;" "&amp;H46&amp;" "&amp;I46&amp;" "&amp;J46)="","",LEN(TRIM(F46&amp;" "&amp;G46&amp;" "&amp;H46&amp;" "&amp;I46&amp;" "&amp;J46))-LEN(SUBSTITUTE(TRIM(F46&amp;" "&amp;G46&amp;" "&amp;H46&amp;" "&amp;I46&amp;" "&amp;J46)," ",""))+1)</x:f>
      </x:c>
      <x:c r="N46" s="30" t="str">
        <x:f>IF(M46="","",ROUNDUP(M46/230,0))</x:f>
      </x:c>
      <x:c r="O46" s="30" t="str">
        <x:f>IF(A46="","",COUNTIF('04_MAPA_ARGUMENTOS'!$B$7:$B$80,A46))</x:f>
      </x:c>
      <x:c r="P46" s="30" t="str">
        <x:f>IF(A46="","",COUNTIFS('04_MAPA_ARGUMENTOS'!$B$7:$B$80,A46,'04_MAPA_ARGUMENTOS'!$G$7:$G$80,"&lt;&gt;"))</x:f>
      </x:c>
      <x:c r="Q46" s="36" t="str">
        <x:f>IF(OR(O46="",O46=0),"",P46/O46)</x:f>
      </x:c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 t="str">
        <x:f>IF(B47="","",LEN(B47))</x:f>
      </x:c>
      <x:c r="L47" s="30" t="str">
        <x:f>IF(A47="","",LEN(F47&amp;G47&amp;H47&amp;I47&amp;J47))</x:f>
      </x:c>
      <x:c r="M47" s="30" t="str">
        <x:f>IF(TRIM(F47&amp;" "&amp;G47&amp;" "&amp;H47&amp;" "&amp;I47&amp;" "&amp;J47)="","",LEN(TRIM(F47&amp;" "&amp;G47&amp;" "&amp;H47&amp;" "&amp;I47&amp;" "&amp;J47))-LEN(SUBSTITUTE(TRIM(F47&amp;" "&amp;G47&amp;" "&amp;H47&amp;" "&amp;I47&amp;" "&amp;J47)," ",""))+1)</x:f>
      </x:c>
      <x:c r="N47" s="30" t="str">
        <x:f>IF(M47="","",ROUNDUP(M47/230,0))</x:f>
      </x:c>
      <x:c r="O47" s="30" t="str">
        <x:f>IF(A47="","",COUNTIF('04_MAPA_ARGUMENTOS'!$B$7:$B$80,A47))</x:f>
      </x:c>
      <x:c r="P47" s="30" t="str">
        <x:f>IF(A47="","",COUNTIFS('04_MAPA_ARGUMENTOS'!$B$7:$B$80,A47,'04_MAPA_ARGUMENTOS'!$G$7:$G$80,"&lt;&gt;"))</x:f>
      </x:c>
      <x:c r="Q47" s="36" t="str">
        <x:f>IF(OR(O47="",O47=0),"",P47/O47)</x:f>
      </x:c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 t="str">
        <x:f>IF(B48="","",LEN(B48))</x:f>
      </x:c>
      <x:c r="L48" s="30" t="str">
        <x:f>IF(A48="","",LEN(F48&amp;G48&amp;H48&amp;I48&amp;J48))</x:f>
      </x:c>
      <x:c r="M48" s="30" t="str">
        <x:f>IF(TRIM(F48&amp;" "&amp;G48&amp;" "&amp;H48&amp;" "&amp;I48&amp;" "&amp;J48)="","",LEN(TRIM(F48&amp;" "&amp;G48&amp;" "&amp;H48&amp;" "&amp;I48&amp;" "&amp;J48))-LEN(SUBSTITUTE(TRIM(F48&amp;" "&amp;G48&amp;" "&amp;H48&amp;" "&amp;I48&amp;" "&amp;J48)," ",""))+1)</x:f>
      </x:c>
      <x:c r="N48" s="30" t="str">
        <x:f>IF(M48="","",ROUNDUP(M48/230,0))</x:f>
      </x:c>
      <x:c r="O48" s="30" t="str">
        <x:f>IF(A48="","",COUNTIF('04_MAPA_ARGUMENTOS'!$B$7:$B$80,A48))</x:f>
      </x:c>
      <x:c r="P48" s="30" t="str">
        <x:f>IF(A48="","",COUNTIFS('04_MAPA_ARGUMENTOS'!$B$7:$B$80,A48,'04_MAPA_ARGUMENTOS'!$G$7:$G$80,"&lt;&gt;"))</x:f>
      </x:c>
      <x:c r="Q48" s="36" t="str">
        <x:f>IF(OR(O48="",O48=0),"",P48/O48)</x:f>
      </x:c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 t="str">
        <x:f>IF(B49="","",LEN(B49))</x:f>
      </x:c>
      <x:c r="L49" s="30" t="str">
        <x:f>IF(A49="","",LEN(F49&amp;G49&amp;H49&amp;I49&amp;J49))</x:f>
      </x:c>
      <x:c r="M49" s="30" t="str">
        <x:f>IF(TRIM(F49&amp;" "&amp;G49&amp;" "&amp;H49&amp;" "&amp;I49&amp;" "&amp;J49)="","",LEN(TRIM(F49&amp;" "&amp;G49&amp;" "&amp;H49&amp;" "&amp;I49&amp;" "&amp;J49))-LEN(SUBSTITUTE(TRIM(F49&amp;" "&amp;G49&amp;" "&amp;H49&amp;" "&amp;I49&amp;" "&amp;J49)," ",""))+1)</x:f>
      </x:c>
      <x:c r="N49" s="30" t="str">
        <x:f>IF(M49="","",ROUNDUP(M49/230,0))</x:f>
      </x:c>
      <x:c r="O49" s="30" t="str">
        <x:f>IF(A49="","",COUNTIF('04_MAPA_ARGUMENTOS'!$B$7:$B$80,A49))</x:f>
      </x:c>
      <x:c r="P49" s="30" t="str">
        <x:f>IF(A49="","",COUNTIFS('04_MAPA_ARGUMENTOS'!$B$7:$B$80,A49,'04_MAPA_ARGUMENTOS'!$G$7:$G$80,"&lt;&gt;"))</x:f>
      </x:c>
      <x:c r="Q49" s="36" t="str">
        <x:f>IF(OR(O49="",O49=0),"",P49/O49)</x:f>
      </x:c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 t="str">
        <x:f>IF(B50="","",LEN(B50))</x:f>
      </x:c>
      <x:c r="L50" s="30" t="str">
        <x:f>IF(A50="","",LEN(F50&amp;G50&amp;H50&amp;I50&amp;J50))</x:f>
      </x:c>
      <x:c r="M50" s="30" t="str">
        <x:f>IF(TRIM(F50&amp;" "&amp;G50&amp;" "&amp;H50&amp;" "&amp;I50&amp;" "&amp;J50)="","",LEN(TRIM(F50&amp;" "&amp;G50&amp;" "&amp;H50&amp;" "&amp;I50&amp;" "&amp;J50))-LEN(SUBSTITUTE(TRIM(F50&amp;" "&amp;G50&amp;" "&amp;H50&amp;" "&amp;I50&amp;" "&amp;J50)," ",""))+1)</x:f>
      </x:c>
      <x:c r="N50" s="30" t="str">
        <x:f>IF(M50="","",ROUNDUP(M50/230,0))</x:f>
      </x:c>
      <x:c r="O50" s="30" t="str">
        <x:f>IF(A50="","",COUNTIF('04_MAPA_ARGUMENTOS'!$B$7:$B$80,A50))</x:f>
      </x:c>
      <x:c r="P50" s="30" t="str">
        <x:f>IF(A50="","",COUNTIFS('04_MAPA_ARGUMENTOS'!$B$7:$B$80,A50,'04_MAPA_ARGUMENTOS'!$G$7:$G$80,"&lt;&gt;"))</x:f>
      </x:c>
      <x:c r="Q50" s="36" t="str">
        <x:f>IF(OR(O50="",O50=0),"",P50/O50)</x:f>
      </x:c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 t="str">
        <x:f>IF(B51="","",LEN(B51))</x:f>
      </x:c>
      <x:c r="L51" s="30" t="str">
        <x:f>IF(A51="","",LEN(F51&amp;G51&amp;H51&amp;I51&amp;J51))</x:f>
      </x:c>
      <x:c r="M51" s="30" t="str">
        <x:f>IF(TRIM(F51&amp;" "&amp;G51&amp;" "&amp;H51&amp;" "&amp;I51&amp;" "&amp;J51)="","",LEN(TRIM(F51&amp;" "&amp;G51&amp;" "&amp;H51&amp;" "&amp;I51&amp;" "&amp;J51))-LEN(SUBSTITUTE(TRIM(F51&amp;" "&amp;G51&amp;" "&amp;H51&amp;" "&amp;I51&amp;" "&amp;J51)," ",""))+1)</x:f>
      </x:c>
      <x:c r="N51" s="30" t="str">
        <x:f>IF(M51="","",ROUNDUP(M51/230,0))</x:f>
      </x:c>
      <x:c r="O51" s="30" t="str">
        <x:f>IF(A51="","",COUNTIF('04_MAPA_ARGUMENTOS'!$B$7:$B$80,A51))</x:f>
      </x:c>
      <x:c r="P51" s="30" t="str">
        <x:f>IF(A51="","",COUNTIFS('04_MAPA_ARGUMENTOS'!$B$7:$B$80,A51,'04_MAPA_ARGUMENTOS'!$G$7:$G$80,"&lt;&gt;"))</x:f>
      </x:c>
      <x:c r="Q51" s="36" t="str">
        <x:f>IF(OR(O51="",O51=0),"",P51/O51)</x:f>
      </x:c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 t="str">
        <x:f>IF(B52="","",LEN(B52))</x:f>
      </x:c>
      <x:c r="L52" s="30" t="str">
        <x:f>IF(A52="","",LEN(F52&amp;G52&amp;H52&amp;I52&amp;J52))</x:f>
      </x:c>
      <x:c r="M52" s="30" t="str">
        <x:f>IF(TRIM(F52&amp;" "&amp;G52&amp;" "&amp;H52&amp;" "&amp;I52&amp;" "&amp;J52)="","",LEN(TRIM(F52&amp;" "&amp;G52&amp;" "&amp;H52&amp;" "&amp;I52&amp;" "&amp;J52))-LEN(SUBSTITUTE(TRIM(F52&amp;" "&amp;G52&amp;" "&amp;H52&amp;" "&amp;I52&amp;" "&amp;J52)," ",""))+1)</x:f>
      </x:c>
      <x:c r="N52" s="30" t="str">
        <x:f>IF(M52="","",ROUNDUP(M52/230,0))</x:f>
      </x:c>
      <x:c r="O52" s="30" t="str">
        <x:f>IF(A52="","",COUNTIF('04_MAPA_ARGUMENTOS'!$B$7:$B$80,A52))</x:f>
      </x:c>
      <x:c r="P52" s="30" t="str">
        <x:f>IF(A52="","",COUNTIFS('04_MAPA_ARGUMENTOS'!$B$7:$B$80,A52,'04_MAPA_ARGUMENTOS'!$G$7:$G$80,"&lt;&gt;"))</x:f>
      </x:c>
      <x:c r="Q52" s="36" t="str">
        <x:f>IF(OR(O52="",O52=0),"",P52/O52)</x:f>
      </x:c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 t="str">
        <x:f>IF(B53="","",LEN(B53))</x:f>
      </x:c>
      <x:c r="L53" s="30" t="str">
        <x:f>IF(A53="","",LEN(F53&amp;G53&amp;H53&amp;I53&amp;J53))</x:f>
      </x:c>
      <x:c r="M53" s="30" t="str">
        <x:f>IF(TRIM(F53&amp;" "&amp;G53&amp;" "&amp;H53&amp;" "&amp;I53&amp;" "&amp;J53)="","",LEN(TRIM(F53&amp;" "&amp;G53&amp;" "&amp;H53&amp;" "&amp;I53&amp;" "&amp;J53))-LEN(SUBSTITUTE(TRIM(F53&amp;" "&amp;G53&amp;" "&amp;H53&amp;" "&amp;I53&amp;" "&amp;J53)," ",""))+1)</x:f>
      </x:c>
      <x:c r="N53" s="30" t="str">
        <x:f>IF(M53="","",ROUNDUP(M53/230,0))</x:f>
      </x:c>
      <x:c r="O53" s="30" t="str">
        <x:f>IF(A53="","",COUNTIF('04_MAPA_ARGUMENTOS'!$B$7:$B$80,A53))</x:f>
      </x:c>
      <x:c r="P53" s="30" t="str">
        <x:f>IF(A53="","",COUNTIFS('04_MAPA_ARGUMENTOS'!$B$7:$B$80,A53,'04_MAPA_ARGUMENTOS'!$G$7:$G$80,"&lt;&gt;"))</x:f>
      </x:c>
      <x:c r="Q53" s="36" t="str">
        <x:f>IF(OR(O53="",O53=0),"",P53/O53)</x:f>
      </x:c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 t="str">
        <x:f>IF(B54="","",LEN(B54))</x:f>
      </x:c>
      <x:c r="L54" s="30" t="str">
        <x:f>IF(A54="","",LEN(F54&amp;G54&amp;H54&amp;I54&amp;J54))</x:f>
      </x:c>
      <x:c r="M54" s="30" t="str">
        <x:f>IF(TRIM(F54&amp;" "&amp;G54&amp;" "&amp;H54&amp;" "&amp;I54&amp;" "&amp;J54)="","",LEN(TRIM(F54&amp;" "&amp;G54&amp;" "&amp;H54&amp;" "&amp;I54&amp;" "&amp;J54))-LEN(SUBSTITUTE(TRIM(F54&amp;" "&amp;G54&amp;" "&amp;H54&amp;" "&amp;I54&amp;" "&amp;J54)," ",""))+1)</x:f>
      </x:c>
      <x:c r="N54" s="30" t="str">
        <x:f>IF(M54="","",ROUNDUP(M54/230,0))</x:f>
      </x:c>
      <x:c r="O54" s="30" t="str">
        <x:f>IF(A54="","",COUNTIF('04_MAPA_ARGUMENTOS'!$B$7:$B$80,A54))</x:f>
      </x:c>
      <x:c r="P54" s="30" t="str">
        <x:f>IF(A54="","",COUNTIFS('04_MAPA_ARGUMENTOS'!$B$7:$B$80,A54,'04_MAPA_ARGUMENTOS'!$G$7:$G$80,"&lt;&gt;"))</x:f>
      </x:c>
      <x:c r="Q54" s="36" t="str">
        <x:f>IF(OR(O54="",O54=0),"",P54/O54)</x:f>
      </x:c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 t="str">
        <x:f>IF(B55="","",LEN(B55))</x:f>
      </x:c>
      <x:c r="L55" s="30" t="str">
        <x:f>IF(A55="","",LEN(F55&amp;G55&amp;H55&amp;I55&amp;J55))</x:f>
      </x:c>
      <x:c r="M55" s="30" t="str">
        <x:f>IF(TRIM(F55&amp;" "&amp;G55&amp;" "&amp;H55&amp;" "&amp;I55&amp;" "&amp;J55)="","",LEN(TRIM(F55&amp;" "&amp;G55&amp;" "&amp;H55&amp;" "&amp;I55&amp;" "&amp;J55))-LEN(SUBSTITUTE(TRIM(F55&amp;" "&amp;G55&amp;" "&amp;H55&amp;" "&amp;I55&amp;" "&amp;J55)," ",""))+1)</x:f>
      </x:c>
      <x:c r="N55" s="30" t="str">
        <x:f>IF(M55="","",ROUNDUP(M55/230,0))</x:f>
      </x:c>
      <x:c r="O55" s="30" t="str">
        <x:f>IF(A55="","",COUNTIF('04_MAPA_ARGUMENTOS'!$B$7:$B$80,A55))</x:f>
      </x:c>
      <x:c r="P55" s="30" t="str">
        <x:f>IF(A55="","",COUNTIFS('04_MAPA_ARGUMENTOS'!$B$7:$B$80,A55,'04_MAPA_ARGUMENTOS'!$G$7:$G$80,"&lt;&gt;"))</x:f>
      </x:c>
      <x:c r="Q55" s="36" t="str">
        <x:f>IF(OR(O55="",O55=0),"",P55/O55)</x:f>
      </x:c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 t="str">
        <x:f>IF(B56="","",LEN(B56))</x:f>
      </x:c>
      <x:c r="L56" s="30" t="str">
        <x:f>IF(A56="","",LEN(F56&amp;G56&amp;H56&amp;I56&amp;J56))</x:f>
      </x:c>
      <x:c r="M56" s="30" t="str">
        <x:f>IF(TRIM(F56&amp;" "&amp;G56&amp;" "&amp;H56&amp;" "&amp;I56&amp;" "&amp;J56)="","",LEN(TRIM(F56&amp;" "&amp;G56&amp;" "&amp;H56&amp;" "&amp;I56&amp;" "&amp;J56))-LEN(SUBSTITUTE(TRIM(F56&amp;" "&amp;G56&amp;" "&amp;H56&amp;" "&amp;I56&amp;" "&amp;J56)," ",""))+1)</x:f>
      </x:c>
      <x:c r="N56" s="30" t="str">
        <x:f>IF(M56="","",ROUNDUP(M56/230,0))</x:f>
      </x:c>
      <x:c r="O56" s="30" t="str">
        <x:f>IF(A56="","",COUNTIF('04_MAPA_ARGUMENTOS'!$B$7:$B$80,A56))</x:f>
      </x:c>
      <x:c r="P56" s="30" t="str">
        <x:f>IF(A56="","",COUNTIFS('04_MAPA_ARGUMENTOS'!$B$7:$B$80,A56,'04_MAPA_ARGUMENTOS'!$G$7:$G$80,"&lt;&gt;"))</x:f>
      </x:c>
      <x:c r="Q56" s="36" t="str">
        <x:f>IF(OR(O56="",O56=0),"",P56/O56)</x:f>
      </x:c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 t="str">
        <x:f>IF(B57="","",LEN(B57))</x:f>
      </x:c>
      <x:c r="L57" s="30" t="str">
        <x:f>IF(A57="","",LEN(F57&amp;G57&amp;H57&amp;I57&amp;J57))</x:f>
      </x:c>
      <x:c r="M57" s="30" t="str">
        <x:f>IF(TRIM(F57&amp;" "&amp;G57&amp;" "&amp;H57&amp;" "&amp;I57&amp;" "&amp;J57)="","",LEN(TRIM(F57&amp;" "&amp;G57&amp;" "&amp;H57&amp;" "&amp;I57&amp;" "&amp;J57))-LEN(SUBSTITUTE(TRIM(F57&amp;" "&amp;G57&amp;" "&amp;H57&amp;" "&amp;I57&amp;" "&amp;J57)," ",""))+1)</x:f>
      </x:c>
      <x:c r="N57" s="30" t="str">
        <x:f>IF(M57="","",ROUNDUP(M57/230,0))</x:f>
      </x:c>
      <x:c r="O57" s="30" t="str">
        <x:f>IF(A57="","",COUNTIF('04_MAPA_ARGUMENTOS'!$B$7:$B$80,A57))</x:f>
      </x:c>
      <x:c r="P57" s="30" t="str">
        <x:f>IF(A57="","",COUNTIFS('04_MAPA_ARGUMENTOS'!$B$7:$B$80,A57,'04_MAPA_ARGUMENTOS'!$G$7:$G$80,"&lt;&gt;"))</x:f>
      </x:c>
      <x:c r="Q57" s="36" t="str">
        <x:f>IF(OR(O57="",O57=0),"",P57/O57)</x:f>
      </x:c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 t="str">
        <x:f>IF(B58="","",LEN(B58))</x:f>
      </x:c>
      <x:c r="L58" s="30" t="str">
        <x:f>IF(A58="","",LEN(F58&amp;G58&amp;H58&amp;I58&amp;J58))</x:f>
      </x:c>
      <x:c r="M58" s="30" t="str">
        <x:f>IF(TRIM(F58&amp;" "&amp;G58&amp;" "&amp;H58&amp;" "&amp;I58&amp;" "&amp;J58)="","",LEN(TRIM(F58&amp;" "&amp;G58&amp;" "&amp;H58&amp;" "&amp;I58&amp;" "&amp;J58))-LEN(SUBSTITUTE(TRIM(F58&amp;" "&amp;G58&amp;" "&amp;H58&amp;" "&amp;I58&amp;" "&amp;J58)," ",""))+1)</x:f>
      </x:c>
      <x:c r="N58" s="30" t="str">
        <x:f>IF(M58="","",ROUNDUP(M58/230,0))</x:f>
      </x:c>
      <x:c r="O58" s="30" t="str">
        <x:f>IF(A58="","",COUNTIF('04_MAPA_ARGUMENTOS'!$B$7:$B$80,A58))</x:f>
      </x:c>
      <x:c r="P58" s="30" t="str">
        <x:f>IF(A58="","",COUNTIFS('04_MAPA_ARGUMENTOS'!$B$7:$B$80,A58,'04_MAPA_ARGUMENTOS'!$G$7:$G$80,"&lt;&gt;"))</x:f>
      </x:c>
      <x:c r="Q58" s="36" t="str">
        <x:f>IF(OR(O58="",O58=0),"",P58/O58)</x:f>
      </x:c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 t="str">
        <x:f>IF(B59="","",LEN(B59))</x:f>
      </x:c>
      <x:c r="L59" s="30" t="str">
        <x:f>IF(A59="","",LEN(F59&amp;G59&amp;H59&amp;I59&amp;J59))</x:f>
      </x:c>
      <x:c r="M59" s="30" t="str">
        <x:f>IF(TRIM(F59&amp;" "&amp;G59&amp;" "&amp;H59&amp;" "&amp;I59&amp;" "&amp;J59)="","",LEN(TRIM(F59&amp;" "&amp;G59&amp;" "&amp;H59&amp;" "&amp;I59&amp;" "&amp;J59))-LEN(SUBSTITUTE(TRIM(F59&amp;" "&amp;G59&amp;" "&amp;H59&amp;" "&amp;I59&amp;" "&amp;J59)," ",""))+1)</x:f>
      </x:c>
      <x:c r="N59" s="30" t="str">
        <x:f>IF(M59="","",ROUNDUP(M59/230,0))</x:f>
      </x:c>
      <x:c r="O59" s="30" t="str">
        <x:f>IF(A59="","",COUNTIF('04_MAPA_ARGUMENTOS'!$B$7:$B$80,A59))</x:f>
      </x:c>
      <x:c r="P59" s="30" t="str">
        <x:f>IF(A59="","",COUNTIFS('04_MAPA_ARGUMENTOS'!$B$7:$B$80,A59,'04_MAPA_ARGUMENTOS'!$G$7:$G$80,"&lt;&gt;"))</x:f>
      </x:c>
      <x:c r="Q59" s="36" t="str">
        <x:f>IF(OR(O59="",O59=0),"",P59/O59)</x:f>
      </x:c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 t="str">
        <x:f>IF(B60="","",LEN(B60))</x:f>
      </x:c>
      <x:c r="L60" s="30" t="str">
        <x:f>IF(A60="","",LEN(F60&amp;G60&amp;H60&amp;I60&amp;J60))</x:f>
      </x:c>
      <x:c r="M60" s="30" t="str">
        <x:f>IF(TRIM(F60&amp;" "&amp;G60&amp;" "&amp;H60&amp;" "&amp;I60&amp;" "&amp;J60)="","",LEN(TRIM(F60&amp;" "&amp;G60&amp;" "&amp;H60&amp;" "&amp;I60&amp;" "&amp;J60))-LEN(SUBSTITUTE(TRIM(F60&amp;" "&amp;G60&amp;" "&amp;H60&amp;" "&amp;I60&amp;" "&amp;J60)," ",""))+1)</x:f>
      </x:c>
      <x:c r="N60" s="30" t="str">
        <x:f>IF(M60="","",ROUNDUP(M60/230,0))</x:f>
      </x:c>
      <x:c r="O60" s="30" t="str">
        <x:f>IF(A60="","",COUNTIF('04_MAPA_ARGUMENTOS'!$B$7:$B$80,A60))</x:f>
      </x:c>
      <x:c r="P60" s="30" t="str">
        <x:f>IF(A60="","",COUNTIFS('04_MAPA_ARGUMENTOS'!$B$7:$B$80,A60,'04_MAPA_ARGUMENTOS'!$G$7:$G$80,"&lt;&gt;"))</x:f>
      </x:c>
      <x:c r="Q60" s="36" t="str">
        <x:f>IF(OR(O60="",O60=0),"",P60/O60)</x:f>
      </x:c>
    </x:row>
  </x:sheetData>
  <x:mergeCells>
    <x:mergeCell ref="A1:H2"/>
    <x:mergeCell ref="A3:H3"/>
  </x:mergeCells>
  <x:conditionalFormatting sqref="Q7:Q60">
    <x:cfRule type="dataBar" priority="1">
      <x:dataBar>
        <x:cfvo type="min"/>
        <x:cfvo type="max"/>
        <x:color rgb="FF0071E3"/>
      </x:dataBar>
      <x:extLst>
        <x:ext xmlns:x14="http://schemas.microsoft.com/office/spreadsheetml/2009/9/main" uri="{B025F937-C7B1-47D3-B67F-A62EFF666E3E}">
          <x14:id>{3891F238-F1B1-B7C0-42C0-327C2DEC29A9}</x14:id>
        </x:ext>
      </x:extLst>
    </x:cfRule>
  </x:conditionalFormatting>
  <x:conditionalFormatting sqref="C7:C60">
    <x:cfRule type="expression" dxfId="33" priority="2">
      <x:formula>C7="ACEITO"</x:formula>
    </x:cfRule>
    <x:cfRule type="expression" dxfId="34" priority="3">
      <x:formula>C7="PUBLICADO"</x:formula>
    </x:cfRule>
    <x:cfRule type="expression" dxfId="35" priority="4">
      <x:formula>C7="EM PRODUÇÃO"</x:formula>
    </x:cfRule>
    <x:cfRule type="expression" dxfId="36" priority="5">
      <x:formula>C7="ARGUMENTAÇÃO"</x:formula>
    </x:cfRule>
    <x:cfRule type="expression" dxfId="37" priority="6">
      <x:formula>C7="PESQUISA"</x:formula>
    </x:cfRule>
    <x:cfRule type="expression" dxfId="38" priority="7">
      <x:formula>C7="EM REVISÃO"</x:formula>
    </x:cfRule>
    <x:cfRule type="expression" dxfId="39" priority="8">
      <x:formula>C7="EM RISCO"</x:formula>
    </x:cfRule>
    <x:cfRule type="expression" dxfId="40" priority="9">
      <x:formula>C7="BLOQUEADO"</x:formula>
    </x:cfRule>
    <x:cfRule type="expression" dxfId="41" priority="10">
      <x:formula>C7="RASCUNHO"</x:formula>
    </x:cfRule>
    <x:cfRule type="expression" dxfId="42" priority="11">
      <x:formula>C7="PLANEJADO"</x:formula>
    </x:cfRule>
    <x:cfRule type="expression" dxfId="43" priority="12">
      <x:formula>C7="TRIAGEM"</x:formula>
    </x:cfRule>
  </x:conditionalFormatting>
  <x:dataValidations count="1">
    <x:dataValidation type="list" sqref="C7:C60">
      <x:formula1>'19_CONFIG_LISTAS'!$A$7:$A$23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891F238-F1B1-B7C0-42C0-327C2DEC29A9}">
            <x14:dataBar gradient="1">
              <x14:cfvo type="min"/>
              <x14:cfvo type="max"/>
              <x14:fillColor rgb="FF0071E3"/>
            </x14:dataBar>
          </x14:cfRule>
          <xm:sqref>Q7:Q60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42" hidden="0" customWidth="1"/>
    <x:col min="7" max="7" width="42" hidden="0" customWidth="1"/>
    <x:col min="8" max="8" width="34" hidden="0" customWidth="1"/>
    <x:col min="9" max="9" width="34" hidden="0" customWidth="1"/>
    <x:col min="10" max="10" width="18" hidden="0" customWidth="1"/>
    <x:col min="11" max="11" width="18" hidden="0" customWidth="1"/>
    <x:col min="12" max="12" width="18" hidden="0" customWidth="1"/>
    <x:col min="13" max="13" width="34" hidden="0" customWidth="1"/>
    <x:col min="14" max="14" width="34" hidden="0" customWidth="1"/>
  </x:cols>
  <x:sheetData>
    <x:row r="1">
      <x:c r="A1" s="4" t="str">
        <x:v>ATIVOS DERIVADOS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Desmembramento cross-platform. Uma linha por peça derivada.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Asset_ID</x:v>
      </x:c>
      <x:c r="B6" s="23" t="str">
        <x:v>Content_ID</x:v>
      </x:c>
      <x:c r="C6" s="23" t="str">
        <x:v>Canal</x:v>
      </x:c>
      <x:c r="D6" s="23" t="str">
        <x:v>Formato</x:v>
      </x:c>
      <x:c r="E6" s="23" t="str">
        <x:v>Título / Hook</x:v>
      </x:c>
      <x:c r="F6" s="23" t="str">
        <x:v>Ideia central</x:v>
      </x:c>
      <x:c r="G6" s="23" t="str">
        <x:v>Estrutura / roteiro</x:v>
      </x:c>
      <x:c r="H6" s="23" t="str">
        <x:v>CTA</x:v>
      </x:c>
      <x:c r="I6" s="23" t="str">
        <x:v>Visual / B-roll</x:v>
      </x:c>
      <x:c r="J6" s="23" t="str">
        <x:v>Status</x:v>
      </x:c>
      <x:c r="K6" s="23" t="str">
        <x:v>Owner</x:v>
      </x:c>
      <x:c r="L6" s="23" t="str">
        <x:v>Prazo</x:v>
      </x:c>
      <x:c r="M6" s="23" t="str">
        <x:v>Link produção</x:v>
      </x:c>
      <x:c r="N6" s="23" t="str">
        <x:v>Link publicado</x:v>
      </x:c>
    </x:row>
    <x:row r="7">
      <x:c r="A7" s="30" t="str">
        <x:v>AST-RC-0001</x:v>
      </x:c>
      <x:c r="B7" s="30" t="str">
        <x:v>CNT-RC-0001</x:v>
      </x:c>
      <x:c r="C7" s="30" t="str">
        <x:v>YouTube Shorts</x:v>
      </x:c>
      <x:c r="D7" s="30" t="str">
        <x:v>Short</x:v>
      </x:c>
      <x:c r="E7" s="30" t="str">
        <x:v>Risco cognitivo é simplesmente cometer um erro?</x:v>
      </x:c>
      <x:c r="F7" s="30" t="str">
        <x:v>Risco ≠ erro</x:v>
      </x:c>
      <x:c r="G7" s="30" t="str">
        <x:v>Hook; tensão; distinção; exemplo; conclusão</x:v>
      </x:c>
      <x:c r="H7" s="30" t="str">
        <x:v>Ler artigo fundador</x:v>
      </x:c>
      <x:c r="I7" s="30" t="str">
        <x:v>Linha do tempo risco → evento</x:v>
      </x:c>
      <x:c r="J7" s="30" t="str">
        <x:v>PLANEJADO</x:v>
      </x:c>
      <x:c r="K7" s="30" t="str">
        <x:v>Não determinado</x:v>
      </x:c>
      <x:c r="L7" s="34"/>
      <x:c r="M7" s="30" t="str"/>
      <x:c r="N7" s="30" t="str"/>
    </x:row>
    <x:row r="8">
      <x:c r="A8" s="30" t="str">
        <x:v>AST-RC-0002</x:v>
      </x:c>
      <x:c r="B8" s="30" t="str">
        <x:v>CNT-RC-0001</x:v>
      </x:c>
      <x:c r="C8" s="30" t="str">
        <x:v>Instagram</x:v>
      </x:c>
      <x:c r="D8" s="30" t="str">
        <x:v>Carrossel</x:v>
      </x:c>
      <x:c r="E8" s="30" t="str">
        <x:v>O que é Risco Cognitivo?</x:v>
      </x:c>
      <x:c r="F8" s="30" t="str">
        <x:v>Definição + modelo mínimo</x:v>
      </x:c>
      <x:c r="G8" s="30" t="str">
        <x:v>5 slides: problema; definição; fator→exposição→evento; exemplo; CTA</x:v>
      </x:c>
      <x:c r="H8" s="30" t="str">
        <x:v>Ler artigo</x:v>
      </x:c>
      <x:c r="I8" s="30" t="str">
        <x:v>Diagrama causal</x:v>
      </x:c>
      <x:c r="J8" s="30" t="str">
        <x:v>PLANEJADO</x:v>
      </x:c>
      <x:c r="K8" s="30" t="str">
        <x:v>Não determinado</x:v>
      </x:c>
      <x:c r="L8" s="34"/>
      <x:c r="M8" s="30" t="str"/>
      <x:c r="N8" s="30" t="str"/>
    </x:row>
    <x:row r="9">
      <x:c r="A9" s="30" t="str">
        <x:v>AST-RC-0003</x:v>
      </x:c>
      <x:c r="B9" s="30" t="str">
        <x:v>CNT-RC-0001</x:v>
      </x:c>
      <x:c r="C9" s="30" t="str">
        <x:v>LinkedIn</x:v>
      </x:c>
      <x:c r="D9" s="30" t="str">
        <x:v>Post textual</x:v>
      </x:c>
      <x:c r="E9" s="30" t="str">
        <x:v>O limite da expressão erro humano</x:v>
      </x:c>
      <x:c r="F9" s="30" t="str">
        <x:v>Analisar condições antes do incidente</x:v>
      </x:c>
      <x:c r="G9" s="30" t="str">
        <x:v>Hook; argumento; exemplo; implicação organizacional</x:v>
      </x:c>
      <x:c r="H9" s="30" t="str">
        <x:v>Ler artigo</x:v>
      </x:c>
      <x:c r="I9" s="30" t="str">
        <x:v>Sem visual obrigatório</x:v>
      </x:c>
      <x:c r="J9" s="30" t="str">
        <x:v>PLANEJADO</x:v>
      </x:c>
      <x:c r="K9" s="30" t="str">
        <x:v>Não determinado</x:v>
      </x:c>
      <x:c r="L9" s="34"/>
      <x:c r="M9" s="30" t="str"/>
      <x:c r="N9" s="30" t="str"/>
    </x:row>
    <x:row r="10">
      <x:c r="A10" s="30" t="str">
        <x:v>AST-RC-0004</x:v>
      </x:c>
      <x:c r="B10" s="30" t="str">
        <x:v>CNT-RC-0002</x:v>
      </x:c>
      <x:c r="C10" s="30" t="str">
        <x:v>YouTube Shorts</x:v>
      </x:c>
      <x:c r="D10" s="30" t="str">
        <x:v>Short</x:v>
      </x:c>
      <x:c r="E10" s="30" t="str">
        <x:v>Dormir mal é um risco cognitivo?</x:v>
      </x:c>
      <x:c r="F10" s="30" t="str">
        <x:v>Fator ≠ evento</x:v>
      </x:c>
      <x:c r="G10" s="30" t="str">
        <x:v>Hook; exemplo; probabilístico; fechamento</x:v>
      </x:c>
      <x:c r="H10" s="30" t="str">
        <x:v>Ler fatores</x:v>
      </x:c>
      <x:c r="I10" s="30" t="str">
        <x:v>B-roll mesa/noite/decisão</x:v>
      </x:c>
      <x:c r="J10" s="30" t="str">
        <x:v>PLANEJADO</x:v>
      </x:c>
      <x:c r="K10" s="30" t="str">
        <x:v>Não determinado</x:v>
      </x:c>
      <x:c r="L10" s="34"/>
      <x:c r="M10" s="30" t="str"/>
      <x:c r="N10" s="30" t="str"/>
    </x:row>
    <x:row r="11">
      <x:c r="A11" s="30" t="str">
        <x:v>AST-RC-0005</x:v>
      </x:c>
      <x:c r="B11" s="30" t="str">
        <x:v>CNT-RC-0002</x:v>
      </x:c>
      <x:c r="C11" s="30" t="str">
        <x:v>Instagram</x:v>
      </x:c>
      <x:c r="D11" s="30" t="str">
        <x:v>Carrossel</x:v>
      </x:c>
      <x:c r="E11" s="30" t="str">
        <x:v>Cinco classes de fatores de risco cognitivo</x:v>
      </x:c>
      <x:c r="F11" s="30" t="str">
        <x:v>Taxonomia inicial</x:v>
      </x:c>
      <x:c r="G11" s="30" t="str">
        <x:v>5 classes + exemplos</x:v>
      </x:c>
      <x:c r="H11" s="30" t="str">
        <x:v>Ler artigo</x:v>
      </x:c>
      <x:c r="I11" s="30" t="str">
        <x:v>Diagrama 5 classes</x:v>
      </x:c>
      <x:c r="J11" s="30" t="str">
        <x:v>PLANEJADO</x:v>
      </x:c>
      <x:c r="K11" s="30" t="str">
        <x:v>Não determinado</x:v>
      </x:c>
      <x:c r="L11" s="34"/>
      <x:c r="M11" s="30" t="str"/>
      <x:c r="N11" s="30" t="str"/>
    </x:row>
    <x:row r="12">
      <x:c r="A12" s="30" t="str">
        <x:v>AST-RC-0006</x:v>
      </x:c>
      <x:c r="B12" s="30" t="str">
        <x:v>CNT-RC-0003</x:v>
      </x:c>
      <x:c r="C12" s="30" t="str">
        <x:v>YouTube Shorts</x:v>
      </x:c>
      <x:c r="D12" s="30" t="str">
        <x:v>Short</x:v>
      </x:c>
      <x:c r="E12" s="30" t="str">
        <x:v>Ter um fator de risco significa estar em risco?</x:v>
      </x:c>
      <x:c r="F12" s="30" t="str">
        <x:v>Fator ≠ exposição</x:v>
      </x:c>
      <x:c r="G12" s="30" t="str">
        <x:v>Hook; dois cenários; dimensões; conclusão</x:v>
      </x:c>
      <x:c r="H12" s="30" t="str">
        <x:v>Ler exposição</x:v>
      </x:c>
      <x:c r="I12" s="30" t="str">
        <x:v>Dois cenários comparativos</x:v>
      </x:c>
      <x:c r="J12" s="30" t="str">
        <x:v>PLANEJADO</x:v>
      </x:c>
      <x:c r="K12" s="30" t="str">
        <x:v>Não determinado</x:v>
      </x:c>
      <x:c r="L12" s="34"/>
      <x:c r="M12" s="30" t="str"/>
      <x:c r="N12" s="30" t="str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/>
      <x:c r="L13" s="34"/>
      <x:c r="M13" s="30"/>
      <x:c r="N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/>
      <x:c r="L14" s="34"/>
      <x:c r="M14" s="30"/>
      <x:c r="N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/>
      <x:c r="L15" s="34"/>
      <x:c r="M15" s="30"/>
      <x:c r="N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/>
      <x:c r="L16" s="34"/>
      <x:c r="M16" s="30"/>
      <x:c r="N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/>
      <x:c r="L17" s="34"/>
      <x:c r="M17" s="30"/>
      <x:c r="N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/>
      <x:c r="L18" s="34"/>
      <x:c r="M18" s="30"/>
      <x:c r="N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/>
      <x:c r="L19" s="34"/>
      <x:c r="M19" s="30"/>
      <x:c r="N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/>
      <x:c r="L20" s="34"/>
      <x:c r="M20" s="30"/>
      <x:c r="N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4"/>
      <x:c r="M21" s="30"/>
      <x:c r="N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/>
      <x:c r="L22" s="34"/>
      <x:c r="M22" s="30"/>
      <x:c r="N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/>
      <x:c r="L23" s="34"/>
      <x:c r="M23" s="30"/>
      <x:c r="N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/>
      <x:c r="L24" s="34"/>
      <x:c r="M24" s="30"/>
      <x:c r="N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/>
      <x:c r="L25" s="34"/>
      <x:c r="M25" s="30"/>
      <x:c r="N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/>
      <x:c r="L26" s="34"/>
      <x:c r="M26" s="30"/>
      <x:c r="N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/>
      <x:c r="L27" s="34"/>
      <x:c r="M27" s="30"/>
      <x:c r="N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/>
      <x:c r="L28" s="34"/>
      <x:c r="M28" s="30"/>
      <x:c r="N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/>
      <x:c r="L29" s="34"/>
      <x:c r="M29" s="30"/>
      <x:c r="N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/>
      <x:c r="L30" s="34"/>
      <x:c r="M30" s="30"/>
      <x:c r="N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/>
      <x:c r="L31" s="34"/>
      <x:c r="M31" s="30"/>
      <x:c r="N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/>
      <x:c r="L32" s="34"/>
      <x:c r="M32" s="30"/>
      <x:c r="N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/>
      <x:c r="L33" s="34"/>
      <x:c r="M33" s="30"/>
      <x:c r="N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/>
      <x:c r="L34" s="34"/>
      <x:c r="M34" s="30"/>
      <x:c r="N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/>
      <x:c r="L35" s="34"/>
      <x:c r="M35" s="30"/>
      <x:c r="N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/>
      <x:c r="L36" s="34"/>
      <x:c r="M36" s="30"/>
      <x:c r="N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/>
      <x:c r="L37" s="34"/>
      <x:c r="M37" s="30"/>
      <x:c r="N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/>
      <x:c r="L38" s="34"/>
      <x:c r="M38" s="30"/>
      <x:c r="N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/>
      <x:c r="L39" s="34"/>
      <x:c r="M39" s="30"/>
      <x:c r="N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/>
      <x:c r="L40" s="34"/>
      <x:c r="M40" s="30"/>
      <x:c r="N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/>
      <x:c r="L41" s="34"/>
      <x:c r="M41" s="30"/>
      <x:c r="N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/>
      <x:c r="L42" s="34"/>
      <x:c r="M42" s="30"/>
      <x:c r="N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/>
      <x:c r="L43" s="34"/>
      <x:c r="M43" s="30"/>
      <x:c r="N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/>
      <x:c r="L44" s="34"/>
      <x:c r="M44" s="30"/>
      <x:c r="N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/>
      <x:c r="L45" s="34"/>
      <x:c r="M45" s="30"/>
      <x:c r="N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/>
      <x:c r="L46" s="34"/>
      <x:c r="M46" s="30"/>
      <x:c r="N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/>
      <x:c r="L47" s="34"/>
      <x:c r="M47" s="30"/>
      <x:c r="N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/>
      <x:c r="L48" s="34"/>
      <x:c r="M48" s="30"/>
      <x:c r="N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/>
      <x:c r="L49" s="34"/>
      <x:c r="M49" s="30"/>
      <x:c r="N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/>
      <x:c r="L50" s="34"/>
      <x:c r="M50" s="30"/>
      <x:c r="N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/>
      <x:c r="L51" s="34"/>
      <x:c r="M51" s="30"/>
      <x:c r="N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/>
      <x:c r="L52" s="34"/>
      <x:c r="M52" s="30"/>
      <x:c r="N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/>
      <x:c r="L53" s="34"/>
      <x:c r="M53" s="30"/>
      <x:c r="N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/>
      <x:c r="L54" s="34"/>
      <x:c r="M54" s="30"/>
      <x:c r="N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/>
      <x:c r="L55" s="34"/>
      <x:c r="M55" s="30"/>
      <x:c r="N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/>
      <x:c r="L56" s="34"/>
      <x:c r="M56" s="30"/>
      <x:c r="N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/>
      <x:c r="L57" s="34"/>
      <x:c r="M57" s="30"/>
      <x:c r="N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/>
      <x:c r="L58" s="34"/>
      <x:c r="M58" s="30"/>
      <x:c r="N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/>
      <x:c r="L59" s="34"/>
      <x:c r="M59" s="30"/>
      <x:c r="N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/>
      <x:c r="L60" s="34"/>
      <x:c r="M60" s="30"/>
      <x:c r="N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/>
      <x:c r="L61" s="34"/>
      <x:c r="M61" s="30"/>
      <x:c r="N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/>
      <x:c r="L62" s="34"/>
      <x:c r="M62" s="30"/>
      <x:c r="N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/>
      <x:c r="L63" s="34"/>
      <x:c r="M63" s="30"/>
      <x:c r="N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/>
      <x:c r="L64" s="34"/>
      <x:c r="M64" s="30"/>
      <x:c r="N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/>
      <x:c r="L65" s="34"/>
      <x:c r="M65" s="30"/>
      <x:c r="N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/>
      <x:c r="L66" s="34"/>
      <x:c r="M66" s="30"/>
      <x:c r="N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/>
      <x:c r="L67" s="34"/>
      <x:c r="M67" s="30"/>
      <x:c r="N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/>
      <x:c r="L68" s="34"/>
      <x:c r="M68" s="30"/>
      <x:c r="N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/>
      <x:c r="L69" s="34"/>
      <x:c r="M69" s="30"/>
      <x:c r="N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/>
      <x:c r="L70" s="34"/>
      <x:c r="M70" s="30"/>
      <x:c r="N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/>
      <x:c r="L71" s="34"/>
      <x:c r="M71" s="30"/>
      <x:c r="N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/>
      <x:c r="L72" s="34"/>
      <x:c r="M72" s="30"/>
      <x:c r="N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/>
      <x:c r="L73" s="34"/>
      <x:c r="M73" s="30"/>
      <x:c r="N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/>
      <x:c r="L74" s="34"/>
      <x:c r="M74" s="30"/>
      <x:c r="N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/>
      <x:c r="L75" s="34"/>
      <x:c r="M75" s="30"/>
      <x:c r="N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/>
      <x:c r="L76" s="34"/>
      <x:c r="M76" s="30"/>
      <x:c r="N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/>
      <x:c r="L77" s="34"/>
      <x:c r="M77" s="30"/>
      <x:c r="N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/>
      <x:c r="L78" s="34"/>
      <x:c r="M78" s="30"/>
      <x:c r="N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/>
      <x:c r="L79" s="34"/>
      <x:c r="M79" s="30"/>
      <x:c r="N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/>
      <x:c r="L80" s="34"/>
      <x:c r="M80" s="30"/>
      <x:c r="N80" s="30"/>
    </x:row>
  </x:sheetData>
  <x:mergeCells>
    <x:mergeCell ref="A1:H2"/>
    <x:mergeCell ref="A3:H3"/>
  </x:mergeCells>
  <x:conditionalFormatting sqref="J7:J80">
    <x:cfRule type="expression" dxfId="44" priority="1">
      <x:formula>J7="ACEITO"</x:formula>
    </x:cfRule>
    <x:cfRule type="expression" dxfId="45" priority="2">
      <x:formula>J7="PUBLICADO"</x:formula>
    </x:cfRule>
    <x:cfRule type="expression" dxfId="46" priority="3">
      <x:formula>J7="EM PRODUÇÃO"</x:formula>
    </x:cfRule>
    <x:cfRule type="expression" dxfId="47" priority="4">
      <x:formula>J7="ARGUMENTAÇÃO"</x:formula>
    </x:cfRule>
    <x:cfRule type="expression" dxfId="48" priority="5">
      <x:formula>J7="PESQUISA"</x:formula>
    </x:cfRule>
    <x:cfRule type="expression" dxfId="49" priority="6">
      <x:formula>J7="EM REVISÃO"</x:formula>
    </x:cfRule>
    <x:cfRule type="expression" dxfId="50" priority="7">
      <x:formula>J7="EM RISCO"</x:formula>
    </x:cfRule>
    <x:cfRule type="expression" dxfId="51" priority="8">
      <x:formula>J7="BLOQUEADO"</x:formula>
    </x:cfRule>
    <x:cfRule type="expression" dxfId="52" priority="9">
      <x:formula>J7="RASCUNHO"</x:formula>
    </x:cfRule>
    <x:cfRule type="expression" dxfId="53" priority="10">
      <x:formula>J7="PLANEJADO"</x:formula>
    </x:cfRule>
    <x:cfRule type="expression" dxfId="54" priority="11">
      <x:formula>J7="TRIAGEM"</x:formula>
    </x:cfRule>
  </x:conditionalFormatting>
  <x:dataValidations count="3">
    <x:dataValidation type="list" sqref="C7:C80">
      <x:formula1>'19_CONFIG_LISTAS'!$E$7:$E$14</x:formula1>
    </x:dataValidation>
    <x:dataValidation type="list" sqref="D7:D80">
      <x:formula1>'19_CONFIG_LISTAS'!$F$7:$F$19</x:formula1>
    </x:dataValidation>
    <x:dataValidation type="list" sqref="J7:J80">
      <x:formula1>'19_CONFIG_LISTAS'!$A$7:$A$23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34" hidden="0" customWidth="1"/>
    <x:col min="6" max="6" width="48" hidden="0" customWidth="1"/>
    <x:col min="7" max="7" width="42" hidden="0" customWidth="1"/>
    <x:col min="8" max="8" width="18" hidden="0" customWidth="1"/>
    <x:col min="9" max="9" width="22" hidden="0" customWidth="1"/>
    <x:col min="10" max="10" width="16" hidden="0" customWidth="1"/>
    <x:col min="11" max="11" width="50" hidden="0" customWidth="1"/>
    <x:col min="12" max="12" width="50" hidden="0" customWidth="1"/>
    <x:col min="13" max="13" width="28" hidden="0" customWidth="1"/>
  </x:cols>
  <x:sheetData>
    <x:row r="1">
      <x:c r="A1" s="4" t="str">
        <x:v>INFOGRÁFICOS · DRIVE · VISUAIS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Controle de infográficos, gráficos, thumbnails, B-roll e arquivos externos.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Visual_ID</x:v>
      </x:c>
      <x:c r="B6" s="23" t="str">
        <x:v>Content_ID</x:v>
      </x:c>
      <x:c r="C6" s="23" t="str">
        <x:v>Asset_ID</x:v>
      </x:c>
      <x:c r="D6" s="23" t="str">
        <x:v>Tipo</x:v>
      </x:c>
      <x:c r="E6" s="23" t="str">
        <x:v>Nome</x:v>
      </x:c>
      <x:c r="F6" s="23" t="str">
        <x:v>Função visual</x:v>
      </x:c>
      <x:c r="G6" s="23" t="str">
        <x:v>Brief visual</x:v>
      </x:c>
      <x:c r="H6" s="23" t="str">
        <x:v>Status</x:v>
      </x:c>
      <x:c r="I6" s="23" t="str">
        <x:v>Owner</x:v>
      </x:c>
      <x:c r="J6" s="23" t="str">
        <x:v>Prazo</x:v>
      </x:c>
      <x:c r="K6" s="23" t="str">
        <x:v>Link Drive</x:v>
      </x:c>
      <x:c r="L6" s="23" t="str">
        <x:v>Fonte / direitos</x:v>
      </x:c>
      <x:c r="M6" s="23" t="str">
        <x:v>Notas</x:v>
      </x:c>
    </x:row>
    <x:row r="7">
      <x:c r="A7" s="30" t="str">
        <x:v>VIS-RC-0001</x:v>
      </x:c>
      <x:c r="B7" s="30" t="str">
        <x:v>CNT-RC-0001</x:v>
      </x:c>
      <x:c r="C7" s="30" t="str">
        <x:v>AST-RC-0002</x:v>
      </x:c>
      <x:c r="D7" s="30" t="str">
        <x:v>Infográfico</x:v>
      </x:c>
      <x:c r="E7" s="30" t="str">
        <x:v>Fator → Exposição → Evento → Consequência</x:v>
      </x:c>
      <x:c r="F7" s="30" t="str">
        <x:v>Explicar modelo mínimo</x:v>
      </x:c>
      <x:c r="G7" s="30" t="str">
        <x:v>Diagrama horizontal minimalista com quatro nós e setas.</x:v>
      </x:c>
      <x:c r="H7" s="30" t="str">
        <x:v>BRIEF</x:v>
      </x:c>
      <x:c r="I7" s="30" t="str">
        <x:v>Não determinado</x:v>
      </x:c>
      <x:c r="J7" s="34"/>
      <x:c r="K7" s="30" t="str"/>
      <x:c r="L7" s="30" t="str"/>
      <x:c r="M7" s="30" t="str"/>
    </x:row>
    <x:row r="8">
      <x:c r="A8" s="30" t="str">
        <x:v>VIS-RC-0002</x:v>
      </x:c>
      <x:c r="B8" s="30" t="str">
        <x:v>CNT-RC-0002</x:v>
      </x:c>
      <x:c r="C8" s="30" t="str">
        <x:v>AST-RC-0005</x:v>
      </x:c>
      <x:c r="D8" s="30" t="str">
        <x:v>Infográfico</x:v>
      </x:c>
      <x:c r="E8" s="30" t="str">
        <x:v>Cinco classes de fatores</x:v>
      </x:c>
      <x:c r="F8" s="30" t="str">
        <x:v>Mostrar taxonomia sem hierarquizar indivíduo</x:v>
      </x:c>
      <x:c r="G8" s="30" t="str">
        <x:v>Cinco blocos equivalentes: individual, estado, ambiental, organizacional, tecnológico.</x:v>
      </x:c>
      <x:c r="H8" s="30" t="str">
        <x:v>BRIEF</x:v>
      </x:c>
      <x:c r="I8" s="30" t="str">
        <x:v>Não determinado</x:v>
      </x:c>
      <x:c r="J8" s="34"/>
      <x:c r="K8" s="30" t="str"/>
      <x:c r="L8" s="30" t="str"/>
      <x:c r="M8" s="30" t="str"/>
    </x:row>
    <x:row r="9">
      <x:c r="A9" s="30" t="str">
        <x:v>VIS-RC-0003</x:v>
      </x:c>
      <x:c r="B9" s="30" t="str">
        <x:v>CNT-RC-0003</x:v>
      </x:c>
      <x:c r="C9" s="30" t="str">
        <x:v>AST-RC-0006</x:v>
      </x:c>
      <x:c r="D9" s="30" t="str">
        <x:v>Infográfico</x:v>
      </x:c>
      <x:c r="E9" s="30" t="str">
        <x:v>Quatro dimensões da exposição</x:v>
      </x:c>
      <x:c r="F9" s="30" t="str">
        <x:v>Mostrar intensidade, frequência, duração, criticidade</x:v>
      </x:c>
      <x:c r="G9" s="30" t="str">
        <x:v>Quatro cartões; marcar como heurística.</x:v>
      </x:c>
      <x:c r="H9" s="30" t="str">
        <x:v>BRIEF</x:v>
      </x:c>
      <x:c r="I9" s="30" t="str">
        <x:v>Não determinado</x:v>
      </x:c>
      <x:c r="J9" s="34"/>
      <x:c r="K9" s="30" t="str"/>
      <x:c r="L9" s="30" t="str"/>
      <x:c r="M9" s="30" t="str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4"/>
      <x:c r="K10" s="30"/>
      <x:c r="L10" s="30"/>
      <x:c r="M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4"/>
      <x:c r="K11" s="30"/>
      <x:c r="L11" s="30"/>
      <x:c r="M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4"/>
      <x:c r="K12" s="30"/>
      <x:c r="L12" s="30"/>
      <x:c r="M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4"/>
      <x:c r="K13" s="30"/>
      <x:c r="L13" s="30"/>
      <x:c r="M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4"/>
      <x:c r="K14" s="30"/>
      <x:c r="L14" s="30"/>
      <x:c r="M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4"/>
      <x:c r="K15" s="30"/>
      <x:c r="L15" s="30"/>
      <x:c r="M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4"/>
      <x:c r="K16" s="30"/>
      <x:c r="L16" s="30"/>
      <x:c r="M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4"/>
      <x:c r="K17" s="30"/>
      <x:c r="L17" s="30"/>
      <x:c r="M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4"/>
      <x:c r="K18" s="30"/>
      <x:c r="L18" s="30"/>
      <x:c r="M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4"/>
      <x:c r="K19" s="30"/>
      <x:c r="L19" s="30"/>
      <x:c r="M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4"/>
      <x:c r="K20" s="30"/>
      <x:c r="L20" s="30"/>
      <x:c r="M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4"/>
      <x:c r="K21" s="30"/>
      <x:c r="L21" s="30"/>
      <x:c r="M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4"/>
      <x:c r="K22" s="30"/>
      <x:c r="L22" s="30"/>
      <x:c r="M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4"/>
      <x:c r="K23" s="30"/>
      <x:c r="L23" s="30"/>
      <x:c r="M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4"/>
      <x:c r="K24" s="30"/>
      <x:c r="L24" s="30"/>
      <x:c r="M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4"/>
      <x:c r="K25" s="30"/>
      <x:c r="L25" s="30"/>
      <x:c r="M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4"/>
      <x:c r="K26" s="30"/>
      <x:c r="L26" s="30"/>
      <x:c r="M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4"/>
      <x:c r="K27" s="30"/>
      <x:c r="L27" s="30"/>
      <x:c r="M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4"/>
      <x:c r="K28" s="30"/>
      <x:c r="L28" s="30"/>
      <x:c r="M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4"/>
      <x:c r="K29" s="30"/>
      <x:c r="L29" s="30"/>
      <x:c r="M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4"/>
      <x:c r="K30" s="30"/>
      <x:c r="L30" s="30"/>
      <x:c r="M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4"/>
      <x:c r="K31" s="30"/>
      <x:c r="L31" s="30"/>
      <x:c r="M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4"/>
      <x:c r="K32" s="30"/>
      <x:c r="L32" s="30"/>
      <x:c r="M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4"/>
      <x:c r="K33" s="30"/>
      <x:c r="L33" s="30"/>
      <x:c r="M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4"/>
      <x:c r="K34" s="30"/>
      <x:c r="L34" s="30"/>
      <x:c r="M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4"/>
      <x:c r="K35" s="30"/>
      <x:c r="L35" s="30"/>
      <x:c r="M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4"/>
      <x:c r="K36" s="30"/>
      <x:c r="L36" s="30"/>
      <x:c r="M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4"/>
      <x:c r="K37" s="30"/>
      <x:c r="L37" s="30"/>
      <x:c r="M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4"/>
      <x:c r="K38" s="30"/>
      <x:c r="L38" s="30"/>
      <x:c r="M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4"/>
      <x:c r="K39" s="30"/>
      <x:c r="L39" s="30"/>
      <x:c r="M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4"/>
      <x:c r="K40" s="30"/>
      <x:c r="L40" s="30"/>
      <x:c r="M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4"/>
      <x:c r="K41" s="30"/>
      <x:c r="L41" s="30"/>
      <x:c r="M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4"/>
      <x:c r="K42" s="30"/>
      <x:c r="L42" s="30"/>
      <x:c r="M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4"/>
      <x:c r="K43" s="30"/>
      <x:c r="L43" s="30"/>
      <x:c r="M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4"/>
      <x:c r="K44" s="30"/>
      <x:c r="L44" s="30"/>
      <x:c r="M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4"/>
      <x:c r="K45" s="30"/>
      <x:c r="L45" s="30"/>
      <x:c r="M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4"/>
      <x:c r="K46" s="30"/>
      <x:c r="L46" s="30"/>
      <x:c r="M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4"/>
      <x:c r="K47" s="30"/>
      <x:c r="L47" s="30"/>
      <x:c r="M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4"/>
      <x:c r="K48" s="30"/>
      <x:c r="L48" s="30"/>
      <x:c r="M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4"/>
      <x:c r="K49" s="30"/>
      <x:c r="L49" s="30"/>
      <x:c r="M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4"/>
      <x:c r="K50" s="30"/>
      <x:c r="L50" s="30"/>
      <x:c r="M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4"/>
      <x:c r="K51" s="30"/>
      <x:c r="L51" s="30"/>
      <x:c r="M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4"/>
      <x:c r="K52" s="30"/>
      <x:c r="L52" s="30"/>
      <x:c r="M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4"/>
      <x:c r="K53" s="30"/>
      <x:c r="L53" s="30"/>
      <x:c r="M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4"/>
      <x:c r="K54" s="30"/>
      <x:c r="L54" s="30"/>
      <x:c r="M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4"/>
      <x:c r="K55" s="30"/>
      <x:c r="L55" s="30"/>
      <x:c r="M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4"/>
      <x:c r="K56" s="30"/>
      <x:c r="L56" s="30"/>
      <x:c r="M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4"/>
      <x:c r="K57" s="30"/>
      <x:c r="L57" s="30"/>
      <x:c r="M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4"/>
      <x:c r="K58" s="30"/>
      <x:c r="L58" s="30"/>
      <x:c r="M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4"/>
      <x:c r="K59" s="30"/>
      <x:c r="L59" s="30"/>
      <x:c r="M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4"/>
      <x:c r="K60" s="30"/>
      <x:c r="L60" s="30"/>
      <x:c r="M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4"/>
      <x:c r="K61" s="30"/>
      <x:c r="L61" s="30"/>
      <x:c r="M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4"/>
      <x:c r="K62" s="30"/>
      <x:c r="L62" s="30"/>
      <x:c r="M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4"/>
      <x:c r="K63" s="30"/>
      <x:c r="L63" s="30"/>
      <x:c r="M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4"/>
      <x:c r="K64" s="30"/>
      <x:c r="L64" s="30"/>
      <x:c r="M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4"/>
      <x:c r="K65" s="30"/>
      <x:c r="L65" s="30"/>
      <x:c r="M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4"/>
      <x:c r="K66" s="30"/>
      <x:c r="L66" s="30"/>
      <x:c r="M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4"/>
      <x:c r="K67" s="30"/>
      <x:c r="L67" s="30"/>
      <x:c r="M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4"/>
      <x:c r="K68" s="30"/>
      <x:c r="L68" s="30"/>
      <x:c r="M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4"/>
      <x:c r="K69" s="30"/>
      <x:c r="L69" s="30"/>
      <x:c r="M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4"/>
      <x:c r="K70" s="30"/>
      <x:c r="L70" s="30"/>
      <x:c r="M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4"/>
      <x:c r="K71" s="30"/>
      <x:c r="L71" s="30"/>
      <x:c r="M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4"/>
      <x:c r="K72" s="30"/>
      <x:c r="L72" s="30"/>
      <x:c r="M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4"/>
      <x:c r="K73" s="30"/>
      <x:c r="L73" s="30"/>
      <x:c r="M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4"/>
      <x:c r="K74" s="30"/>
      <x:c r="L74" s="30"/>
      <x:c r="M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4"/>
      <x:c r="K75" s="30"/>
      <x:c r="L75" s="30"/>
      <x:c r="M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4"/>
      <x:c r="K76" s="30"/>
      <x:c r="L76" s="30"/>
      <x:c r="M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4"/>
      <x:c r="K77" s="30"/>
      <x:c r="L77" s="30"/>
      <x:c r="M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4"/>
      <x:c r="K78" s="30"/>
      <x:c r="L78" s="30"/>
      <x:c r="M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4"/>
      <x:c r="K79" s="30"/>
      <x:c r="L79" s="30"/>
      <x:c r="M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4"/>
      <x:c r="K80" s="30"/>
      <x:c r="L80" s="30"/>
      <x:c r="M80" s="30"/>
    </x:row>
  </x:sheetData>
  <x:mergeCells>
    <x:mergeCell ref="A1:H2"/>
    <x:mergeCell ref="A3:H3"/>
  </x:mergeCells>
  <x:conditionalFormatting sqref="H7:H80">
    <x:cfRule type="expression" dxfId="55" priority="1">
      <x:formula>H7="ACEITO"</x:formula>
    </x:cfRule>
    <x:cfRule type="expression" dxfId="56" priority="2">
      <x:formula>H7="PUBLICADO"</x:formula>
    </x:cfRule>
    <x:cfRule type="expression" dxfId="57" priority="3">
      <x:formula>H7="EM PRODUÇÃO"</x:formula>
    </x:cfRule>
    <x:cfRule type="expression" dxfId="58" priority="4">
      <x:formula>H7="ARGUMENTAÇÃO"</x:formula>
    </x:cfRule>
    <x:cfRule type="expression" dxfId="59" priority="5">
      <x:formula>H7="PESQUISA"</x:formula>
    </x:cfRule>
    <x:cfRule type="expression" dxfId="60" priority="6">
      <x:formula>H7="EM REVISÃO"</x:formula>
    </x:cfRule>
    <x:cfRule type="expression" dxfId="61" priority="7">
      <x:formula>H7="EM RISCO"</x:formula>
    </x:cfRule>
    <x:cfRule type="expression" dxfId="62" priority="8">
      <x:formula>H7="BLOQUEADO"</x:formula>
    </x:cfRule>
    <x:cfRule type="expression" dxfId="63" priority="9">
      <x:formula>H7="RASCUNHO"</x:formula>
    </x:cfRule>
    <x:cfRule type="expression" dxfId="64" priority="10">
      <x:formula>H7="PLANEJADO"</x:formula>
    </x:cfRule>
    <x:cfRule type="expression" dxfId="65" priority="11">
      <x:formula>H7="TRIAGEM"</x:formula>
    </x:cfRule>
  </x:conditionalFormatting>
  <x:dataValidations count="2">
    <x:dataValidation type="list" sqref="D7:D80">
      <x:formula1>'19_CONFIG_LISTAS'!$F$7:$F$19</x:formula1>
    </x:dataValidation>
    <x:dataValidation type="list" sqref="H7:H80">
      <x:formula1>'19_CONFIG_LISTAS'!$G$7:$G$12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6" hidden="0" customWidth="1"/>
    <x:col min="4" max="4" width="36" hidden="0" customWidth="1"/>
    <x:col min="5" max="5" width="44" hidden="0" customWidth="1"/>
    <x:col min="6" max="6" width="60" hidden="0" customWidth="1"/>
    <x:col min="7" max="7" width="52" hidden="0" customWidth="1"/>
    <x:col min="8" max="8" width="34" hidden="0" customWidth="1"/>
    <x:col min="9" max="9" width="18" hidden="0" customWidth="1"/>
    <x:col min="10" max="10" width="16" hidden="0" customWidth="1"/>
    <x:col min="11" max="11" width="16" hidden="0" customWidth="1"/>
    <x:col min="12" max="12" width="48" hidden="0" customWidth="1"/>
  </x:cols>
  <x:sheetData>
    <x:row r="1">
      <x:c r="A1" s="4" t="str">
        <x:v>YOUTUBE · VÍDEO LONGO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Ensaios/explainers narrados com imagem, B-roll, documentos, diagramas e voz autoral.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Asset_ID</x:v>
      </x:c>
      <x:c r="B6" s="23" t="str">
        <x:v>Content_ID</x:v>
      </x:c>
      <x:c r="C6" s="23" t="str">
        <x:v>Título</x:v>
      </x:c>
      <x:c r="D6" s="23" t="str">
        <x:v>Hook</x:v>
      </x:c>
      <x:c r="E6" s="23" t="str">
        <x:v>Promessa</x:v>
      </x:c>
      <x:c r="F6" s="23" t="str">
        <x:v>Roteiro / capítulos</x:v>
      </x:c>
      <x:c r="G6" s="23" t="str">
        <x:v>Shot list / B-roll</x:v>
      </x:c>
      <x:c r="H6" s="23" t="str">
        <x:v>CTA</x:v>
      </x:c>
      <x:c r="I6" s="23" t="str">
        <x:v>Status</x:v>
      </x:c>
      <x:c r="J6" s="23" t="str">
        <x:v>Palavras</x:v>
      </x:c>
      <x:c r="K6" s="23" t="str">
        <x:v>Duração min</x:v>
      </x:c>
      <x:c r="L6" s="23" t="str">
        <x:v>Link projeto</x:v>
      </x:c>
    </x:row>
    <x:row r="7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>
        <x:v>PLANEJADO</x:v>
      </x:c>
      <x:c r="J7" s="30" t="str">
        <x:f>IF(TRIM(F7)="","",LEN(TRIM(F7))-LEN(SUBSTITUTE(TRIM(F7)," ",""))+1)</x:f>
      </x:c>
      <x:c r="K7" s="30" t="str">
        <x:f>IF(J7="","",ROUND(J7/145,1))</x:f>
      </x:c>
      <x:c r="L7" s="30" t="str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 t="str">
        <x:f>IF(TRIM(F8)="","",LEN(TRIM(F8))-LEN(SUBSTITUTE(TRIM(F8)," ",""))+1)</x:f>
      </x:c>
      <x:c r="K8" s="30" t="str">
        <x:f>IF(J8="","",ROUND(J8/145,1))</x:f>
      </x:c>
      <x:c r="L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 t="str">
        <x:f>IF(TRIM(F9)="","",LEN(TRIM(F9))-LEN(SUBSTITUTE(TRIM(F9)," ",""))+1)</x:f>
      </x:c>
      <x:c r="K9" s="30" t="str">
        <x:f>IF(J9="","",ROUND(J9/145,1))</x:f>
      </x:c>
      <x:c r="L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 t="str">
        <x:f>IF(TRIM(F10)="","",LEN(TRIM(F10))-LEN(SUBSTITUTE(TRIM(F10)," ",""))+1)</x:f>
      </x:c>
      <x:c r="K10" s="30" t="str">
        <x:f>IF(J10="","",ROUND(J10/145,1))</x:f>
      </x:c>
      <x:c r="L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 t="str">
        <x:f>IF(TRIM(F11)="","",LEN(TRIM(F11))-LEN(SUBSTITUTE(TRIM(F11)," ",""))+1)</x:f>
      </x:c>
      <x:c r="K11" s="30" t="str">
        <x:f>IF(J11="","",ROUND(J11/145,1))</x:f>
      </x:c>
      <x:c r="L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 t="str">
        <x:f>IF(TRIM(F12)="","",LEN(TRIM(F12))-LEN(SUBSTITUTE(TRIM(F12)," ",""))+1)</x:f>
      </x:c>
      <x:c r="K12" s="30" t="str">
        <x:f>IF(J12="","",ROUND(J12/145,1))</x:f>
      </x:c>
      <x:c r="L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 t="str">
        <x:f>IF(TRIM(F13)="","",LEN(TRIM(F13))-LEN(SUBSTITUTE(TRIM(F13)," ",""))+1)</x:f>
      </x:c>
      <x:c r="K13" s="30" t="str">
        <x:f>IF(J13="","",ROUND(J13/145,1))</x:f>
      </x:c>
      <x:c r="L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 t="str">
        <x:f>IF(TRIM(F14)="","",LEN(TRIM(F14))-LEN(SUBSTITUTE(TRIM(F14)," ",""))+1)</x:f>
      </x:c>
      <x:c r="K14" s="30" t="str">
        <x:f>IF(J14="","",ROUND(J14/145,1))</x:f>
      </x:c>
      <x:c r="L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 t="str">
        <x:f>IF(TRIM(F15)="","",LEN(TRIM(F15))-LEN(SUBSTITUTE(TRIM(F15)," ",""))+1)</x:f>
      </x:c>
      <x:c r="K15" s="30" t="str">
        <x:f>IF(J15="","",ROUND(J15/145,1))</x:f>
      </x:c>
      <x:c r="L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 t="str">
        <x:f>IF(TRIM(F16)="","",LEN(TRIM(F16))-LEN(SUBSTITUTE(TRIM(F16)," ",""))+1)</x:f>
      </x:c>
      <x:c r="K16" s="30" t="str">
        <x:f>IF(J16="","",ROUND(J16/145,1))</x:f>
      </x:c>
      <x:c r="L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 t="str">
        <x:f>IF(TRIM(F17)="","",LEN(TRIM(F17))-LEN(SUBSTITUTE(TRIM(F17)," ",""))+1)</x:f>
      </x:c>
      <x:c r="K17" s="30" t="str">
        <x:f>IF(J17="","",ROUND(J17/145,1))</x:f>
      </x:c>
      <x:c r="L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 t="str">
        <x:f>IF(TRIM(F18)="","",LEN(TRIM(F18))-LEN(SUBSTITUTE(TRIM(F18)," ",""))+1)</x:f>
      </x:c>
      <x:c r="K18" s="30" t="str">
        <x:f>IF(J18="","",ROUND(J18/145,1))</x:f>
      </x:c>
      <x:c r="L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 t="str">
        <x:f>IF(TRIM(F19)="","",LEN(TRIM(F19))-LEN(SUBSTITUTE(TRIM(F19)," ",""))+1)</x:f>
      </x:c>
      <x:c r="K19" s="30" t="str">
        <x:f>IF(J19="","",ROUND(J19/145,1))</x:f>
      </x:c>
      <x:c r="L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 t="str">
        <x:f>IF(TRIM(F20)="","",LEN(TRIM(F20))-LEN(SUBSTITUTE(TRIM(F20)," ",""))+1)</x:f>
      </x:c>
      <x:c r="K20" s="30" t="str">
        <x:f>IF(J20="","",ROUND(J20/145,1))</x:f>
      </x:c>
      <x:c r="L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 t="str">
        <x:f>IF(TRIM(F21)="","",LEN(TRIM(F21))-LEN(SUBSTITUTE(TRIM(F21)," ",""))+1)</x:f>
      </x:c>
      <x:c r="K21" s="30" t="str">
        <x:f>IF(J21="","",ROUND(J21/145,1))</x:f>
      </x:c>
      <x:c r="L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 t="str">
        <x:f>IF(TRIM(F22)="","",LEN(TRIM(F22))-LEN(SUBSTITUTE(TRIM(F22)," ",""))+1)</x:f>
      </x:c>
      <x:c r="K22" s="30" t="str">
        <x:f>IF(J22="","",ROUND(J22/145,1))</x:f>
      </x:c>
      <x:c r="L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 t="str">
        <x:f>IF(TRIM(F23)="","",LEN(TRIM(F23))-LEN(SUBSTITUTE(TRIM(F23)," ",""))+1)</x:f>
      </x:c>
      <x:c r="K23" s="30" t="str">
        <x:f>IF(J23="","",ROUND(J23/145,1))</x:f>
      </x:c>
      <x:c r="L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 t="str">
        <x:f>IF(TRIM(F24)="","",LEN(TRIM(F24))-LEN(SUBSTITUTE(TRIM(F24)," ",""))+1)</x:f>
      </x:c>
      <x:c r="K24" s="30" t="str">
        <x:f>IF(J24="","",ROUND(J24/145,1))</x:f>
      </x:c>
      <x:c r="L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 t="str">
        <x:f>IF(TRIM(F25)="","",LEN(TRIM(F25))-LEN(SUBSTITUTE(TRIM(F25)," ",""))+1)</x:f>
      </x:c>
      <x:c r="K25" s="30" t="str">
        <x:f>IF(J25="","",ROUND(J25/145,1))</x:f>
      </x:c>
      <x:c r="L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 t="str">
        <x:f>IF(TRIM(F26)="","",LEN(TRIM(F26))-LEN(SUBSTITUTE(TRIM(F26)," ",""))+1)</x:f>
      </x:c>
      <x:c r="K26" s="30" t="str">
        <x:f>IF(J26="","",ROUND(J26/145,1))</x:f>
      </x:c>
      <x:c r="L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 t="str">
        <x:f>IF(TRIM(F27)="","",LEN(TRIM(F27))-LEN(SUBSTITUTE(TRIM(F27)," ",""))+1)</x:f>
      </x:c>
      <x:c r="K27" s="30" t="str">
        <x:f>IF(J27="","",ROUND(J27/145,1))</x:f>
      </x:c>
      <x:c r="L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 t="str">
        <x:f>IF(TRIM(F28)="","",LEN(TRIM(F28))-LEN(SUBSTITUTE(TRIM(F28)," ",""))+1)</x:f>
      </x:c>
      <x:c r="K28" s="30" t="str">
        <x:f>IF(J28="","",ROUND(J28/145,1))</x:f>
      </x:c>
      <x:c r="L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 t="str">
        <x:f>IF(TRIM(F29)="","",LEN(TRIM(F29))-LEN(SUBSTITUTE(TRIM(F29)," ",""))+1)</x:f>
      </x:c>
      <x:c r="K29" s="30" t="str">
        <x:f>IF(J29="","",ROUND(J29/145,1))</x:f>
      </x:c>
      <x:c r="L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 t="str">
        <x:f>IF(TRIM(F30)="","",LEN(TRIM(F30))-LEN(SUBSTITUTE(TRIM(F30)," ",""))+1)</x:f>
      </x:c>
      <x:c r="K30" s="30" t="str">
        <x:f>IF(J30="","",ROUND(J30/145,1))</x:f>
      </x:c>
      <x:c r="L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 t="str">
        <x:f>IF(TRIM(F31)="","",LEN(TRIM(F31))-LEN(SUBSTITUTE(TRIM(F31)," ",""))+1)</x:f>
      </x:c>
      <x:c r="K31" s="30" t="str">
        <x:f>IF(J31="","",ROUND(J31/145,1))</x:f>
      </x:c>
      <x:c r="L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 t="str">
        <x:f>IF(TRIM(F32)="","",LEN(TRIM(F32))-LEN(SUBSTITUTE(TRIM(F32)," ",""))+1)</x:f>
      </x:c>
      <x:c r="K32" s="30" t="str">
        <x:f>IF(J32="","",ROUND(J32/145,1))</x:f>
      </x:c>
      <x:c r="L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 t="str">
        <x:f>IF(TRIM(F33)="","",LEN(TRIM(F33))-LEN(SUBSTITUTE(TRIM(F33)," ",""))+1)</x:f>
      </x:c>
      <x:c r="K33" s="30" t="str">
        <x:f>IF(J33="","",ROUND(J33/145,1))</x:f>
      </x:c>
      <x:c r="L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 t="str">
        <x:f>IF(TRIM(F34)="","",LEN(TRIM(F34))-LEN(SUBSTITUTE(TRIM(F34)," ",""))+1)</x:f>
      </x:c>
      <x:c r="K34" s="30" t="str">
        <x:f>IF(J34="","",ROUND(J34/145,1))</x:f>
      </x:c>
      <x:c r="L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 t="str">
        <x:f>IF(TRIM(F35)="","",LEN(TRIM(F35))-LEN(SUBSTITUTE(TRIM(F35)," ",""))+1)</x:f>
      </x:c>
      <x:c r="K35" s="30" t="str">
        <x:f>IF(J35="","",ROUND(J35/145,1))</x:f>
      </x:c>
      <x:c r="L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 t="str">
        <x:f>IF(TRIM(F36)="","",LEN(TRIM(F36))-LEN(SUBSTITUTE(TRIM(F36)," ",""))+1)</x:f>
      </x:c>
      <x:c r="K36" s="30" t="str">
        <x:f>IF(J36="","",ROUND(J36/145,1))</x:f>
      </x:c>
      <x:c r="L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 t="str">
        <x:f>IF(TRIM(F37)="","",LEN(TRIM(F37))-LEN(SUBSTITUTE(TRIM(F37)," ",""))+1)</x:f>
      </x:c>
      <x:c r="K37" s="30" t="str">
        <x:f>IF(J37="","",ROUND(J37/145,1))</x:f>
      </x:c>
      <x:c r="L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 t="str">
        <x:f>IF(TRIM(F38)="","",LEN(TRIM(F38))-LEN(SUBSTITUTE(TRIM(F38)," ",""))+1)</x:f>
      </x:c>
      <x:c r="K38" s="30" t="str">
        <x:f>IF(J38="","",ROUND(J38/145,1))</x:f>
      </x:c>
      <x:c r="L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 t="str">
        <x:f>IF(TRIM(F39)="","",LEN(TRIM(F39))-LEN(SUBSTITUTE(TRIM(F39)," ",""))+1)</x:f>
      </x:c>
      <x:c r="K39" s="30" t="str">
        <x:f>IF(J39="","",ROUND(J39/145,1))</x:f>
      </x:c>
      <x:c r="L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 t="str">
        <x:f>IF(TRIM(F40)="","",LEN(TRIM(F40))-LEN(SUBSTITUTE(TRIM(F40)," ",""))+1)</x:f>
      </x:c>
      <x:c r="K40" s="30" t="str">
        <x:f>IF(J40="","",ROUND(J40/145,1))</x:f>
      </x:c>
      <x:c r="L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 t="str">
        <x:f>IF(TRIM(F41)="","",LEN(TRIM(F41))-LEN(SUBSTITUTE(TRIM(F41)," ",""))+1)</x:f>
      </x:c>
      <x:c r="K41" s="30" t="str">
        <x:f>IF(J41="","",ROUND(J41/145,1))</x:f>
      </x:c>
      <x:c r="L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 t="str">
        <x:f>IF(TRIM(F42)="","",LEN(TRIM(F42))-LEN(SUBSTITUTE(TRIM(F42)," ",""))+1)</x:f>
      </x:c>
      <x:c r="K42" s="30" t="str">
        <x:f>IF(J42="","",ROUND(J42/145,1))</x:f>
      </x:c>
      <x:c r="L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 t="str">
        <x:f>IF(TRIM(F43)="","",LEN(TRIM(F43))-LEN(SUBSTITUTE(TRIM(F43)," ",""))+1)</x:f>
      </x:c>
      <x:c r="K43" s="30" t="str">
        <x:f>IF(J43="","",ROUND(J43/145,1))</x:f>
      </x:c>
      <x:c r="L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 t="str">
        <x:f>IF(TRIM(F44)="","",LEN(TRIM(F44))-LEN(SUBSTITUTE(TRIM(F44)," ",""))+1)</x:f>
      </x:c>
      <x:c r="K44" s="30" t="str">
        <x:f>IF(J44="","",ROUND(J44/145,1))</x:f>
      </x:c>
      <x:c r="L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 t="str">
        <x:f>IF(TRIM(F45)="","",LEN(TRIM(F45))-LEN(SUBSTITUTE(TRIM(F45)," ",""))+1)</x:f>
      </x:c>
      <x:c r="K45" s="30" t="str">
        <x:f>IF(J45="","",ROUND(J45/145,1))</x:f>
      </x:c>
      <x:c r="L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 t="str">
        <x:f>IF(TRIM(F46)="","",LEN(TRIM(F46))-LEN(SUBSTITUTE(TRIM(F46)," ",""))+1)</x:f>
      </x:c>
      <x:c r="K46" s="30" t="str">
        <x:f>IF(J46="","",ROUND(J46/145,1))</x:f>
      </x:c>
      <x:c r="L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 t="str">
        <x:f>IF(TRIM(F47)="","",LEN(TRIM(F47))-LEN(SUBSTITUTE(TRIM(F47)," ",""))+1)</x:f>
      </x:c>
      <x:c r="K47" s="30" t="str">
        <x:f>IF(J47="","",ROUND(J47/145,1))</x:f>
      </x:c>
      <x:c r="L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 t="str">
        <x:f>IF(TRIM(F48)="","",LEN(TRIM(F48))-LEN(SUBSTITUTE(TRIM(F48)," ",""))+1)</x:f>
      </x:c>
      <x:c r="K48" s="30" t="str">
        <x:f>IF(J48="","",ROUND(J48/145,1))</x:f>
      </x:c>
      <x:c r="L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 t="str">
        <x:f>IF(TRIM(F49)="","",LEN(TRIM(F49))-LEN(SUBSTITUTE(TRIM(F49)," ",""))+1)</x:f>
      </x:c>
      <x:c r="K49" s="30" t="str">
        <x:f>IF(J49="","",ROUND(J49/145,1))</x:f>
      </x:c>
      <x:c r="L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 t="str">
        <x:f>IF(TRIM(F50)="","",LEN(TRIM(F50))-LEN(SUBSTITUTE(TRIM(F50)," ",""))+1)</x:f>
      </x:c>
      <x:c r="K50" s="30" t="str">
        <x:f>IF(J50="","",ROUND(J50/145,1))</x:f>
      </x:c>
      <x:c r="L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 t="str">
        <x:f>IF(TRIM(F51)="","",LEN(TRIM(F51))-LEN(SUBSTITUTE(TRIM(F51)," ",""))+1)</x:f>
      </x:c>
      <x:c r="K51" s="30" t="str">
        <x:f>IF(J51="","",ROUND(J51/145,1))</x:f>
      </x:c>
      <x:c r="L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 t="str">
        <x:f>IF(TRIM(F52)="","",LEN(TRIM(F52))-LEN(SUBSTITUTE(TRIM(F52)," ",""))+1)</x:f>
      </x:c>
      <x:c r="K52" s="30" t="str">
        <x:f>IF(J52="","",ROUND(J52/145,1))</x:f>
      </x:c>
      <x:c r="L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 t="str">
        <x:f>IF(TRIM(F53)="","",LEN(TRIM(F53))-LEN(SUBSTITUTE(TRIM(F53)," ",""))+1)</x:f>
      </x:c>
      <x:c r="K53" s="30" t="str">
        <x:f>IF(J53="","",ROUND(J53/145,1))</x:f>
      </x:c>
      <x:c r="L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 t="str">
        <x:f>IF(TRIM(F54)="","",LEN(TRIM(F54))-LEN(SUBSTITUTE(TRIM(F54)," ",""))+1)</x:f>
      </x:c>
      <x:c r="K54" s="30" t="str">
        <x:f>IF(J54="","",ROUND(J54/145,1))</x:f>
      </x:c>
      <x:c r="L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 t="str">
        <x:f>IF(TRIM(F55)="","",LEN(TRIM(F55))-LEN(SUBSTITUTE(TRIM(F55)," ",""))+1)</x:f>
      </x:c>
      <x:c r="K55" s="30" t="str">
        <x:f>IF(J55="","",ROUND(J55/145,1))</x:f>
      </x:c>
      <x:c r="L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 t="str">
        <x:f>IF(TRIM(F56)="","",LEN(TRIM(F56))-LEN(SUBSTITUTE(TRIM(F56)," ",""))+1)</x:f>
      </x:c>
      <x:c r="K56" s="30" t="str">
        <x:f>IF(J56="","",ROUND(J56/145,1))</x:f>
      </x:c>
      <x:c r="L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 t="str">
        <x:f>IF(TRIM(F57)="","",LEN(TRIM(F57))-LEN(SUBSTITUTE(TRIM(F57)," ",""))+1)</x:f>
      </x:c>
      <x:c r="K57" s="30" t="str">
        <x:f>IF(J57="","",ROUND(J57/145,1))</x:f>
      </x:c>
      <x:c r="L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 t="str">
        <x:f>IF(TRIM(F58)="","",LEN(TRIM(F58))-LEN(SUBSTITUTE(TRIM(F58)," ",""))+1)</x:f>
      </x:c>
      <x:c r="K58" s="30" t="str">
        <x:f>IF(J58="","",ROUND(J58/145,1))</x:f>
      </x:c>
      <x:c r="L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 t="str">
        <x:f>IF(TRIM(F59)="","",LEN(TRIM(F59))-LEN(SUBSTITUTE(TRIM(F59)," ",""))+1)</x:f>
      </x:c>
      <x:c r="K59" s="30" t="str">
        <x:f>IF(J59="","",ROUND(J59/145,1))</x:f>
      </x:c>
      <x:c r="L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 t="str">
        <x:f>IF(TRIM(F60)="","",LEN(TRIM(F60))-LEN(SUBSTITUTE(TRIM(F60)," ",""))+1)</x:f>
      </x:c>
      <x:c r="K60" s="30" t="str">
        <x:f>IF(J60="","",ROUND(J60/145,1))</x:f>
      </x:c>
      <x:c r="L60" s="30"/>
    </x:row>
  </x:sheetData>
  <x:mergeCells>
    <x:mergeCell ref="A1:H2"/>
    <x:mergeCell ref="A3:H3"/>
  </x:mergeCells>
  <x:conditionalFormatting sqref="I7:I60">
    <x:cfRule type="expression" dxfId="66" priority="1">
      <x:formula>I7="ACEITO"</x:formula>
    </x:cfRule>
    <x:cfRule type="expression" dxfId="67" priority="2">
      <x:formula>I7="PUBLICADO"</x:formula>
    </x:cfRule>
    <x:cfRule type="expression" dxfId="68" priority="3">
      <x:formula>I7="EM PRODUÇÃO"</x:formula>
    </x:cfRule>
    <x:cfRule type="expression" dxfId="69" priority="4">
      <x:formula>I7="ARGUMENTAÇÃO"</x:formula>
    </x:cfRule>
    <x:cfRule type="expression" dxfId="70" priority="5">
      <x:formula>I7="PESQUISA"</x:formula>
    </x:cfRule>
    <x:cfRule type="expression" dxfId="71" priority="6">
      <x:formula>I7="EM REVISÃO"</x:formula>
    </x:cfRule>
    <x:cfRule type="expression" dxfId="72" priority="7">
      <x:formula>I7="EM RISCO"</x:formula>
    </x:cfRule>
    <x:cfRule type="expression" dxfId="73" priority="8">
      <x:formula>I7="BLOQUEADO"</x:formula>
    </x:cfRule>
    <x:cfRule type="expression" dxfId="74" priority="9">
      <x:formula>I7="RASCUNHO"</x:formula>
    </x:cfRule>
    <x:cfRule type="expression" dxfId="75" priority="10">
      <x:formula>I7="PLANEJADO"</x:formula>
    </x:cfRule>
    <x:cfRule type="expression" dxfId="76" priority="11">
      <x:formula>I7="TRIAGEM"</x:formula>
    </x:cfRule>
  </x:conditionalFormatting>
  <x:dataValidations count="1">
    <x:dataValidation type="list" sqref="I7:I60">
      <x:formula1>'19_CONFIG_LISTAS'!$A$7:$A$23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4" hidden="0" customWidth="1"/>
    <x:col min="5" max="5" width="42" hidden="0" customWidth="1"/>
    <x:col min="6" max="6" width="52" hidden="0" customWidth="1"/>
    <x:col min="7" max="7" width="48" hidden="0" customWidth="1"/>
    <x:col min="8" max="8" width="42" hidden="0" customWidth="1"/>
    <x:col min="9" max="9" width="34" hidden="0" customWidth="1"/>
    <x:col min="10" max="10" width="18" hidden="0" customWidth="1"/>
    <x:col min="11" max="11" width="14" hidden="0" customWidth="1"/>
    <x:col min="12" max="12" width="14" hidden="0" customWidth="1"/>
    <x:col min="13" max="13" width="16" hidden="0" customWidth="1"/>
    <x:col min="14" max="14" width="44" hidden="0" customWidth="1"/>
  </x:cols>
  <x:sheetData>
    <x:row r="1">
      <x:c r="A1" s="4" t="str">
        <x:v>SHORTS · REELS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Roteiros curtos. Um vídeo = uma ideia. Voz autoral + imagem/B-roll + texto na tela.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Asset_ID</x:v>
      </x:c>
      <x:c r="B6" s="23" t="str">
        <x:v>Content_ID</x:v>
      </x:c>
      <x:c r="C6" s="23" t="str">
        <x:v>Canal</x:v>
      </x:c>
      <x:c r="D6" s="23" t="str">
        <x:v>Hook</x:v>
      </x:c>
      <x:c r="E6" s="23" t="str">
        <x:v>Tensão</x:v>
      </x:c>
      <x:c r="F6" s="23" t="str">
        <x:v>Ideia central</x:v>
      </x:c>
      <x:c r="G6" s="23" t="str">
        <x:v>Exemplo</x:v>
      </x:c>
      <x:c r="H6" s="23" t="str">
        <x:v>Visual / shot list</x:v>
      </x:c>
      <x:c r="I6" s="23" t="str">
        <x:v>Fechamento / CTA</x:v>
      </x:c>
      <x:c r="J6" s="23" t="str">
        <x:v>Status</x:v>
      </x:c>
      <x:c r="K6" s="23" t="str">
        <x:v>Palavras</x:v>
      </x:c>
      <x:c r="L6" s="23" t="str">
        <x:v>Duração seg</x:v>
      </x:c>
      <x:c r="M6" s="23" t="str">
        <x:v>Chars</x:v>
      </x:c>
      <x:c r="N6" s="23" t="str">
        <x:v>Link produção</x:v>
      </x:c>
    </x:row>
    <x:row r="7">
      <x:c r="A7" s="30" t="str">
        <x:v>AST-RC-0001</x:v>
      </x:c>
      <x:c r="B7" s="30" t="str">
        <x:v>CNT-RC-0001</x:v>
      </x:c>
      <x:c r="C7" s="30" t="str">
        <x:v>YouTube Shorts</x:v>
      </x:c>
      <x:c r="D7" s="30" t="str">
        <x:v>Risco cognitivo é simplesmente cometer um erro?</x:v>
      </x:c>
      <x:c r="E7" s="30" t="str">
        <x:v>O erro já aconteceu; o risco existe antes.</x:v>
      </x:c>
      <x:c r="F7" s="30" t="str">
        <x:v>Risco ≠ erro.</x:v>
      </x:c>
      <x:c r="G7" s="30" t="str">
        <x:v>Fadiga + decisão crítica.</x:v>
      </x:c>
      <x:c r="H7" s="30" t="str">
        <x:v>Mão escreve ERRO; linha temporal; fatores antes do evento.</x:v>
      </x:c>
      <x:c r="I7" s="30" t="str">
        <x:v>Se olhamos só para o erro, começamos tarde demais.</x:v>
      </x:c>
      <x:c r="J7" s="30" t="str">
        <x:v>PLANEJADO</x:v>
      </x:c>
      <x:c r="K7" s="30" t="n">
        <x:f>IF(TRIM(D7&amp;" "&amp;E7&amp;" "&amp;F7&amp;" "&amp;G7&amp;" "&amp;I7)="","",LEN(TRIM(D7&amp;" "&amp;E7&amp;" "&amp;F7&amp;" "&amp;G7&amp;" "&amp;I7))-LEN(SUBSTITUTE(TRIM(D7&amp;" "&amp;E7&amp;" "&amp;F7&amp;" "&amp;G7&amp;" "&amp;I7)," ",""))+1)</x:f>
        <x:v>31</x:v>
      </x:c>
      <x:c r="L7" s="30" t="n">
        <x:f>IF(K7="","",ROUND(K7/2.45,0))</x:f>
        <x:v>13</x:v>
      </x:c>
      <x:c r="M7" s="30" t="n">
        <x:f>IF(A7="","",LEN(D7&amp;E7&amp;F7&amp;G7&amp;I7))</x:f>
        <x:v>177</x:v>
      </x:c>
      <x:c r="N7" s="30" t="str"/>
    </x:row>
    <x:row r="8">
      <x:c r="A8" s="30" t="str">
        <x:v>AST-RC-0004</x:v>
      </x:c>
      <x:c r="B8" s="30" t="str">
        <x:v>CNT-RC-0002</x:v>
      </x:c>
      <x:c r="C8" s="30" t="str">
        <x:v>YouTube Shorts</x:v>
      </x:c>
      <x:c r="D8" s="30" t="str">
        <x:v>Dormir mal é um risco cognitivo?</x:v>
      </x:c>
      <x:c r="E8" s="30" t="str">
        <x:v>Dormir mal não determina um erro.</x:v>
      </x:c>
      <x:c r="F8" s="30" t="str">
        <x:v>Fator aumenta probabilidade; não é destino.</x:v>
      </x:c>
      <x:c r="G8" s="30" t="str">
        <x:v>Sono ruim antes de tarefa simples versus decisão crítica.</x:v>
      </x:c>
      <x:c r="H8" s="30" t="str">
        <x:v>Noite; relógio; mesa; decisão.</x:v>
      </x:c>
      <x:c r="I8" s="30" t="str">
        <x:v>Fator não é evento.</x:v>
      </x:c>
      <x:c r="J8" s="30" t="str">
        <x:v>PLANEJADO</x:v>
      </x:c>
      <x:c r="K8" s="30" t="n">
        <x:f>IF(TRIM(D8&amp;" "&amp;E8&amp;" "&amp;F8&amp;" "&amp;G8&amp;" "&amp;I8)="","",LEN(TRIM(D8&amp;" "&amp;E8&amp;" "&amp;F8&amp;" "&amp;G8&amp;" "&amp;I8))-LEN(SUBSTITUTE(TRIM(D8&amp;" "&amp;E8&amp;" "&amp;F8&amp;" "&amp;G8&amp;" "&amp;I8)," ",""))+1)</x:f>
        <x:v>31</x:v>
      </x:c>
      <x:c r="L8" s="30" t="n">
        <x:f>IF(K8="","",ROUND(K8/2.45,0))</x:f>
        <x:v>13</x:v>
      </x:c>
      <x:c r="M8" s="30" t="n">
        <x:f>IF(A8="","",LEN(D8&amp;E8&amp;F8&amp;G8&amp;I8))</x:f>
        <x:v>184</x:v>
      </x:c>
      <x:c r="N8" s="30" t="str"/>
    </x:row>
    <x:row r="9">
      <x:c r="A9" s="30" t="str">
        <x:v>AST-RC-0006</x:v>
      </x:c>
      <x:c r="B9" s="30" t="str">
        <x:v>CNT-RC-0003</x:v>
      </x:c>
      <x:c r="C9" s="30" t="str">
        <x:v>YouTube Shorts</x:v>
      </x:c>
      <x:c r="D9" s="30" t="str">
        <x:v>Ter um fator de risco significa estar em risco?</x:v>
      </x:c>
      <x:c r="E9" s="30" t="str">
        <x:v>Mesmo fator pode produzir exposições diferentes.</x:v>
      </x:c>
      <x:c r="F9" s="30" t="str">
        <x:v>Exposição depende de intensidade, frequência, duração e criticidade.</x:v>
      </x:c>
      <x:c r="G9" s="30" t="str">
        <x:v>Uma notificação versus cem interrupções.</x:v>
      </x:c>
      <x:c r="H9" s="30" t="str">
        <x:v>Dois cenários lado a lado.</x:v>
      </x:c>
      <x:c r="I9" s="30" t="str">
        <x:v>O fator é só o começo da análise.</x:v>
      </x:c>
      <x:c r="J9" s="30" t="str">
        <x:v>PLANEJADO</x:v>
      </x:c>
      <x:c r="K9" s="30" t="n">
        <x:f>IF(TRIM(D9&amp;" "&amp;E9&amp;" "&amp;F9&amp;" "&amp;G9&amp;" "&amp;I9)="","",LEN(TRIM(D9&amp;" "&amp;E9&amp;" "&amp;F9&amp;" "&amp;G9&amp;" "&amp;I9))-LEN(SUBSTITUTE(TRIM(D9&amp;" "&amp;E9&amp;" "&amp;F9&amp;" "&amp;G9&amp;" "&amp;I9)," ",""))+1)</x:f>
        <x:v>36</x:v>
      </x:c>
      <x:c r="L9" s="30" t="n">
        <x:f>IF(K9="","",ROUND(K9/2.45,0))</x:f>
        <x:v>15</x:v>
      </x:c>
      <x:c r="M9" s="30" t="n">
        <x:f>IF(A9="","",LEN(D9&amp;E9&amp;F9&amp;G9&amp;I9))</x:f>
        <x:v>236</x:v>
      </x:c>
      <x:c r="N9" s="30" t="str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/>
      <x:c r="K10" s="30" t="str">
        <x:f>IF(TRIM(D10&amp;" "&amp;E10&amp;" "&amp;F10&amp;" "&amp;G10&amp;" "&amp;I10)="","",LEN(TRIM(D10&amp;" "&amp;E10&amp;" "&amp;F10&amp;" "&amp;G10&amp;" "&amp;I10))-LEN(SUBSTITUTE(TRIM(D10&amp;" "&amp;E10&amp;" "&amp;F10&amp;" "&amp;G10&amp;" "&amp;I10)," ",""))+1)</x:f>
      </x:c>
      <x:c r="L10" s="30" t="str">
        <x:f>IF(K10="","",ROUND(K10/2.45,0))</x:f>
      </x:c>
      <x:c r="M10" s="30" t="str">
        <x:f>IF(A10="","",LEN(D10&amp;E10&amp;F10&amp;G10&amp;I10))</x:f>
      </x:c>
      <x:c r="N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/>
      <x:c r="K11" s="30" t="str">
        <x:f>IF(TRIM(D11&amp;" "&amp;E11&amp;" "&amp;F11&amp;" "&amp;G11&amp;" "&amp;I11)="","",LEN(TRIM(D11&amp;" "&amp;E11&amp;" "&amp;F11&amp;" "&amp;G11&amp;" "&amp;I11))-LEN(SUBSTITUTE(TRIM(D11&amp;" "&amp;E11&amp;" "&amp;F11&amp;" "&amp;G11&amp;" "&amp;I11)," ",""))+1)</x:f>
      </x:c>
      <x:c r="L11" s="30" t="str">
        <x:f>IF(K11="","",ROUND(K11/2.45,0))</x:f>
      </x:c>
      <x:c r="M11" s="30" t="str">
        <x:f>IF(A11="","",LEN(D11&amp;E11&amp;F11&amp;G11&amp;I11))</x:f>
      </x:c>
      <x:c r="N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/>
      <x:c r="K12" s="30" t="str">
        <x:f>IF(TRIM(D12&amp;" "&amp;E12&amp;" "&amp;F12&amp;" "&amp;G12&amp;" "&amp;I12)="","",LEN(TRIM(D12&amp;" "&amp;E12&amp;" "&amp;F12&amp;" "&amp;G12&amp;" "&amp;I12))-LEN(SUBSTITUTE(TRIM(D12&amp;" "&amp;E12&amp;" "&amp;F12&amp;" "&amp;G12&amp;" "&amp;I12)," ",""))+1)</x:f>
      </x:c>
      <x:c r="L12" s="30" t="str">
        <x:f>IF(K12="","",ROUND(K12/2.45,0))</x:f>
      </x:c>
      <x:c r="M12" s="30" t="str">
        <x:f>IF(A12="","",LEN(D12&amp;E12&amp;F12&amp;G12&amp;I12))</x:f>
      </x:c>
      <x:c r="N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/>
      <x:c r="K13" s="30" t="str">
        <x:f>IF(TRIM(D13&amp;" "&amp;E13&amp;" "&amp;F13&amp;" "&amp;G13&amp;" "&amp;I13)="","",LEN(TRIM(D13&amp;" "&amp;E13&amp;" "&amp;F13&amp;" "&amp;G13&amp;" "&amp;I13))-LEN(SUBSTITUTE(TRIM(D13&amp;" "&amp;E13&amp;" "&amp;F13&amp;" "&amp;G13&amp;" "&amp;I13)," ",""))+1)</x:f>
      </x:c>
      <x:c r="L13" s="30" t="str">
        <x:f>IF(K13="","",ROUND(K13/2.45,0))</x:f>
      </x:c>
      <x:c r="M13" s="30" t="str">
        <x:f>IF(A13="","",LEN(D13&amp;E13&amp;F13&amp;G13&amp;I13))</x:f>
      </x:c>
      <x:c r="N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/>
      <x:c r="K14" s="30" t="str">
        <x:f>IF(TRIM(D14&amp;" "&amp;E14&amp;" "&amp;F14&amp;" "&amp;G14&amp;" "&amp;I14)="","",LEN(TRIM(D14&amp;" "&amp;E14&amp;" "&amp;F14&amp;" "&amp;G14&amp;" "&amp;I14))-LEN(SUBSTITUTE(TRIM(D14&amp;" "&amp;E14&amp;" "&amp;F14&amp;" "&amp;G14&amp;" "&amp;I14)," ",""))+1)</x:f>
      </x:c>
      <x:c r="L14" s="30" t="str">
        <x:f>IF(K14="","",ROUND(K14/2.45,0))</x:f>
      </x:c>
      <x:c r="M14" s="30" t="str">
        <x:f>IF(A14="","",LEN(D14&amp;E14&amp;F14&amp;G14&amp;I14))</x:f>
      </x:c>
      <x:c r="N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/>
      <x:c r="K15" s="30" t="str">
        <x:f>IF(TRIM(D15&amp;" "&amp;E15&amp;" "&amp;F15&amp;" "&amp;G15&amp;" "&amp;I15)="","",LEN(TRIM(D15&amp;" "&amp;E15&amp;" "&amp;F15&amp;" "&amp;G15&amp;" "&amp;I15))-LEN(SUBSTITUTE(TRIM(D15&amp;" "&amp;E15&amp;" "&amp;F15&amp;" "&amp;G15&amp;" "&amp;I15)," ",""))+1)</x:f>
      </x:c>
      <x:c r="L15" s="30" t="str">
        <x:f>IF(K15="","",ROUND(K15/2.45,0))</x:f>
      </x:c>
      <x:c r="M15" s="30" t="str">
        <x:f>IF(A15="","",LEN(D15&amp;E15&amp;F15&amp;G15&amp;I15))</x:f>
      </x:c>
      <x:c r="N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/>
      <x:c r="K16" s="30" t="str">
        <x:f>IF(TRIM(D16&amp;" "&amp;E16&amp;" "&amp;F16&amp;" "&amp;G16&amp;" "&amp;I16)="","",LEN(TRIM(D16&amp;" "&amp;E16&amp;" "&amp;F16&amp;" "&amp;G16&amp;" "&amp;I16))-LEN(SUBSTITUTE(TRIM(D16&amp;" "&amp;E16&amp;" "&amp;F16&amp;" "&amp;G16&amp;" "&amp;I16)," ",""))+1)</x:f>
      </x:c>
      <x:c r="L16" s="30" t="str">
        <x:f>IF(K16="","",ROUND(K16/2.45,0))</x:f>
      </x:c>
      <x:c r="M16" s="30" t="str">
        <x:f>IF(A16="","",LEN(D16&amp;E16&amp;F16&amp;G16&amp;I16))</x:f>
      </x:c>
      <x:c r="N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/>
      <x:c r="K17" s="30" t="str">
        <x:f>IF(TRIM(D17&amp;" "&amp;E17&amp;" "&amp;F17&amp;" "&amp;G17&amp;" "&amp;I17)="","",LEN(TRIM(D17&amp;" "&amp;E17&amp;" "&amp;F17&amp;" "&amp;G17&amp;" "&amp;I17))-LEN(SUBSTITUTE(TRIM(D17&amp;" "&amp;E17&amp;" "&amp;F17&amp;" "&amp;G17&amp;" "&amp;I17)," ",""))+1)</x:f>
      </x:c>
      <x:c r="L17" s="30" t="str">
        <x:f>IF(K17="","",ROUND(K17/2.45,0))</x:f>
      </x:c>
      <x:c r="M17" s="30" t="str">
        <x:f>IF(A17="","",LEN(D17&amp;E17&amp;F17&amp;G17&amp;I17))</x:f>
      </x:c>
      <x:c r="N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/>
      <x:c r="K18" s="30" t="str">
        <x:f>IF(TRIM(D18&amp;" "&amp;E18&amp;" "&amp;F18&amp;" "&amp;G18&amp;" "&amp;I18)="","",LEN(TRIM(D18&amp;" "&amp;E18&amp;" "&amp;F18&amp;" "&amp;G18&amp;" "&amp;I18))-LEN(SUBSTITUTE(TRIM(D18&amp;" "&amp;E18&amp;" "&amp;F18&amp;" "&amp;G18&amp;" "&amp;I18)," ",""))+1)</x:f>
      </x:c>
      <x:c r="L18" s="30" t="str">
        <x:f>IF(K18="","",ROUND(K18/2.45,0))</x:f>
      </x:c>
      <x:c r="M18" s="30" t="str">
        <x:f>IF(A18="","",LEN(D18&amp;E18&amp;F18&amp;G18&amp;I18))</x:f>
      </x:c>
      <x:c r="N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/>
      <x:c r="K19" s="30" t="str">
        <x:f>IF(TRIM(D19&amp;" "&amp;E19&amp;" "&amp;F19&amp;" "&amp;G19&amp;" "&amp;I19)="","",LEN(TRIM(D19&amp;" "&amp;E19&amp;" "&amp;F19&amp;" "&amp;G19&amp;" "&amp;I19))-LEN(SUBSTITUTE(TRIM(D19&amp;" "&amp;E19&amp;" "&amp;F19&amp;" "&amp;G19&amp;" "&amp;I19)," ",""))+1)</x:f>
      </x:c>
      <x:c r="L19" s="30" t="str">
        <x:f>IF(K19="","",ROUND(K19/2.45,0))</x:f>
      </x:c>
      <x:c r="M19" s="30" t="str">
        <x:f>IF(A19="","",LEN(D19&amp;E19&amp;F19&amp;G19&amp;I19))</x:f>
      </x:c>
      <x:c r="N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/>
      <x:c r="K20" s="30" t="str">
        <x:f>IF(TRIM(D20&amp;" "&amp;E20&amp;" "&amp;F20&amp;" "&amp;G20&amp;" "&amp;I20)="","",LEN(TRIM(D20&amp;" "&amp;E20&amp;" "&amp;F20&amp;" "&amp;G20&amp;" "&amp;I20))-LEN(SUBSTITUTE(TRIM(D20&amp;" "&amp;E20&amp;" "&amp;F20&amp;" "&amp;G20&amp;" "&amp;I20)," ",""))+1)</x:f>
      </x:c>
      <x:c r="L20" s="30" t="str">
        <x:f>IF(K20="","",ROUND(K20/2.45,0))</x:f>
      </x:c>
      <x:c r="M20" s="30" t="str">
        <x:f>IF(A20="","",LEN(D20&amp;E20&amp;F20&amp;G20&amp;I20))</x:f>
      </x:c>
      <x:c r="N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 t="str">
        <x:f>IF(TRIM(D21&amp;" "&amp;E21&amp;" "&amp;F21&amp;" "&amp;G21&amp;" "&amp;I21)="","",LEN(TRIM(D21&amp;" "&amp;E21&amp;" "&amp;F21&amp;" "&amp;G21&amp;" "&amp;I21))-LEN(SUBSTITUTE(TRIM(D21&amp;" "&amp;E21&amp;" "&amp;F21&amp;" "&amp;G21&amp;" "&amp;I21)," ",""))+1)</x:f>
      </x:c>
      <x:c r="L21" s="30" t="str">
        <x:f>IF(K21="","",ROUND(K21/2.45,0))</x:f>
      </x:c>
      <x:c r="M21" s="30" t="str">
        <x:f>IF(A21="","",LEN(D21&amp;E21&amp;F21&amp;G21&amp;I21))</x:f>
      </x:c>
      <x:c r="N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/>
      <x:c r="K22" s="30" t="str">
        <x:f>IF(TRIM(D22&amp;" "&amp;E22&amp;" "&amp;F22&amp;" "&amp;G22&amp;" "&amp;I22)="","",LEN(TRIM(D22&amp;" "&amp;E22&amp;" "&amp;F22&amp;" "&amp;G22&amp;" "&amp;I22))-LEN(SUBSTITUTE(TRIM(D22&amp;" "&amp;E22&amp;" "&amp;F22&amp;" "&amp;G22&amp;" "&amp;I22)," ",""))+1)</x:f>
      </x:c>
      <x:c r="L22" s="30" t="str">
        <x:f>IF(K22="","",ROUND(K22/2.45,0))</x:f>
      </x:c>
      <x:c r="M22" s="30" t="str">
        <x:f>IF(A22="","",LEN(D22&amp;E22&amp;F22&amp;G22&amp;I22))</x:f>
      </x:c>
      <x:c r="N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/>
      <x:c r="K23" s="30" t="str">
        <x:f>IF(TRIM(D23&amp;" "&amp;E23&amp;" "&amp;F23&amp;" "&amp;G23&amp;" "&amp;I23)="","",LEN(TRIM(D23&amp;" "&amp;E23&amp;" "&amp;F23&amp;" "&amp;G23&amp;" "&amp;I23))-LEN(SUBSTITUTE(TRIM(D23&amp;" "&amp;E23&amp;" "&amp;F23&amp;" "&amp;G23&amp;" "&amp;I23)," ",""))+1)</x:f>
      </x:c>
      <x:c r="L23" s="30" t="str">
        <x:f>IF(K23="","",ROUND(K23/2.45,0))</x:f>
      </x:c>
      <x:c r="M23" s="30" t="str">
        <x:f>IF(A23="","",LEN(D23&amp;E23&amp;F23&amp;G23&amp;I23))</x:f>
      </x:c>
      <x:c r="N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/>
      <x:c r="K24" s="30" t="str">
        <x:f>IF(TRIM(D24&amp;" "&amp;E24&amp;" "&amp;F24&amp;" "&amp;G24&amp;" "&amp;I24)="","",LEN(TRIM(D24&amp;" "&amp;E24&amp;" "&amp;F24&amp;" "&amp;G24&amp;" "&amp;I24))-LEN(SUBSTITUTE(TRIM(D24&amp;" "&amp;E24&amp;" "&amp;F24&amp;" "&amp;G24&amp;" "&amp;I24)," ",""))+1)</x:f>
      </x:c>
      <x:c r="L24" s="30" t="str">
        <x:f>IF(K24="","",ROUND(K24/2.45,0))</x:f>
      </x:c>
      <x:c r="M24" s="30" t="str">
        <x:f>IF(A24="","",LEN(D24&amp;E24&amp;F24&amp;G24&amp;I24))</x:f>
      </x:c>
      <x:c r="N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/>
      <x:c r="K25" s="30" t="str">
        <x:f>IF(TRIM(D25&amp;" "&amp;E25&amp;" "&amp;F25&amp;" "&amp;G25&amp;" "&amp;I25)="","",LEN(TRIM(D25&amp;" "&amp;E25&amp;" "&amp;F25&amp;" "&amp;G25&amp;" "&amp;I25))-LEN(SUBSTITUTE(TRIM(D25&amp;" "&amp;E25&amp;" "&amp;F25&amp;" "&amp;G25&amp;" "&amp;I25)," ",""))+1)</x:f>
      </x:c>
      <x:c r="L25" s="30" t="str">
        <x:f>IF(K25="","",ROUND(K25/2.45,0))</x:f>
      </x:c>
      <x:c r="M25" s="30" t="str">
        <x:f>IF(A25="","",LEN(D25&amp;E25&amp;F25&amp;G25&amp;I25))</x:f>
      </x:c>
      <x:c r="N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/>
      <x:c r="K26" s="30" t="str">
        <x:f>IF(TRIM(D26&amp;" "&amp;E26&amp;" "&amp;F26&amp;" "&amp;G26&amp;" "&amp;I26)="","",LEN(TRIM(D26&amp;" "&amp;E26&amp;" "&amp;F26&amp;" "&amp;G26&amp;" "&amp;I26))-LEN(SUBSTITUTE(TRIM(D26&amp;" "&amp;E26&amp;" "&amp;F26&amp;" "&amp;G26&amp;" "&amp;I26)," ",""))+1)</x:f>
      </x:c>
      <x:c r="L26" s="30" t="str">
        <x:f>IF(K26="","",ROUND(K26/2.45,0))</x:f>
      </x:c>
      <x:c r="M26" s="30" t="str">
        <x:f>IF(A26="","",LEN(D26&amp;E26&amp;F26&amp;G26&amp;I26))</x:f>
      </x:c>
      <x:c r="N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/>
      <x:c r="K27" s="30" t="str">
        <x:f>IF(TRIM(D27&amp;" "&amp;E27&amp;" "&amp;F27&amp;" "&amp;G27&amp;" "&amp;I27)="","",LEN(TRIM(D27&amp;" "&amp;E27&amp;" "&amp;F27&amp;" "&amp;G27&amp;" "&amp;I27))-LEN(SUBSTITUTE(TRIM(D27&amp;" "&amp;E27&amp;" "&amp;F27&amp;" "&amp;G27&amp;" "&amp;I27)," ",""))+1)</x:f>
      </x:c>
      <x:c r="L27" s="30" t="str">
        <x:f>IF(K27="","",ROUND(K27/2.45,0))</x:f>
      </x:c>
      <x:c r="M27" s="30" t="str">
        <x:f>IF(A27="","",LEN(D27&amp;E27&amp;F27&amp;G27&amp;I27))</x:f>
      </x:c>
      <x:c r="N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/>
      <x:c r="K28" s="30" t="str">
        <x:f>IF(TRIM(D28&amp;" "&amp;E28&amp;" "&amp;F28&amp;" "&amp;G28&amp;" "&amp;I28)="","",LEN(TRIM(D28&amp;" "&amp;E28&amp;" "&amp;F28&amp;" "&amp;G28&amp;" "&amp;I28))-LEN(SUBSTITUTE(TRIM(D28&amp;" "&amp;E28&amp;" "&amp;F28&amp;" "&amp;G28&amp;" "&amp;I28)," ",""))+1)</x:f>
      </x:c>
      <x:c r="L28" s="30" t="str">
        <x:f>IF(K28="","",ROUND(K28/2.45,0))</x:f>
      </x:c>
      <x:c r="M28" s="30" t="str">
        <x:f>IF(A28="","",LEN(D28&amp;E28&amp;F28&amp;G28&amp;I28))</x:f>
      </x:c>
      <x:c r="N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/>
      <x:c r="K29" s="30" t="str">
        <x:f>IF(TRIM(D29&amp;" "&amp;E29&amp;" "&amp;F29&amp;" "&amp;G29&amp;" "&amp;I29)="","",LEN(TRIM(D29&amp;" "&amp;E29&amp;" "&amp;F29&amp;" "&amp;G29&amp;" "&amp;I29))-LEN(SUBSTITUTE(TRIM(D29&amp;" "&amp;E29&amp;" "&amp;F29&amp;" "&amp;G29&amp;" "&amp;I29)," ",""))+1)</x:f>
      </x:c>
      <x:c r="L29" s="30" t="str">
        <x:f>IF(K29="","",ROUND(K29/2.45,0))</x:f>
      </x:c>
      <x:c r="M29" s="30" t="str">
        <x:f>IF(A29="","",LEN(D29&amp;E29&amp;F29&amp;G29&amp;I29))</x:f>
      </x:c>
      <x:c r="N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/>
      <x:c r="K30" s="30" t="str">
        <x:f>IF(TRIM(D30&amp;" "&amp;E30&amp;" "&amp;F30&amp;" "&amp;G30&amp;" "&amp;I30)="","",LEN(TRIM(D30&amp;" "&amp;E30&amp;" "&amp;F30&amp;" "&amp;G30&amp;" "&amp;I30))-LEN(SUBSTITUTE(TRIM(D30&amp;" "&amp;E30&amp;" "&amp;F30&amp;" "&amp;G30&amp;" "&amp;I30)," ",""))+1)</x:f>
      </x:c>
      <x:c r="L30" s="30" t="str">
        <x:f>IF(K30="","",ROUND(K30/2.45,0))</x:f>
      </x:c>
      <x:c r="M30" s="30" t="str">
        <x:f>IF(A30="","",LEN(D30&amp;E30&amp;F30&amp;G30&amp;I30))</x:f>
      </x:c>
      <x:c r="N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/>
      <x:c r="K31" s="30" t="str">
        <x:f>IF(TRIM(D31&amp;" "&amp;E31&amp;" "&amp;F31&amp;" "&amp;G31&amp;" "&amp;I31)="","",LEN(TRIM(D31&amp;" "&amp;E31&amp;" "&amp;F31&amp;" "&amp;G31&amp;" "&amp;I31))-LEN(SUBSTITUTE(TRIM(D31&amp;" "&amp;E31&amp;" "&amp;F31&amp;" "&amp;G31&amp;" "&amp;I31)," ",""))+1)</x:f>
      </x:c>
      <x:c r="L31" s="30" t="str">
        <x:f>IF(K31="","",ROUND(K31/2.45,0))</x:f>
      </x:c>
      <x:c r="M31" s="30" t="str">
        <x:f>IF(A31="","",LEN(D31&amp;E31&amp;F31&amp;G31&amp;I31))</x:f>
      </x:c>
      <x:c r="N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/>
      <x:c r="K32" s="30" t="str">
        <x:f>IF(TRIM(D32&amp;" "&amp;E32&amp;" "&amp;F32&amp;" "&amp;G32&amp;" "&amp;I32)="","",LEN(TRIM(D32&amp;" "&amp;E32&amp;" "&amp;F32&amp;" "&amp;G32&amp;" "&amp;I32))-LEN(SUBSTITUTE(TRIM(D32&amp;" "&amp;E32&amp;" "&amp;F32&amp;" "&amp;G32&amp;" "&amp;I32)," ",""))+1)</x:f>
      </x:c>
      <x:c r="L32" s="30" t="str">
        <x:f>IF(K32="","",ROUND(K32/2.45,0))</x:f>
      </x:c>
      <x:c r="M32" s="30" t="str">
        <x:f>IF(A32="","",LEN(D32&amp;E32&amp;F32&amp;G32&amp;I32))</x:f>
      </x:c>
      <x:c r="N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/>
      <x:c r="K33" s="30" t="str">
        <x:f>IF(TRIM(D33&amp;" "&amp;E33&amp;" "&amp;F33&amp;" "&amp;G33&amp;" "&amp;I33)="","",LEN(TRIM(D33&amp;" "&amp;E33&amp;" "&amp;F33&amp;" "&amp;G33&amp;" "&amp;I33))-LEN(SUBSTITUTE(TRIM(D33&amp;" "&amp;E33&amp;" "&amp;F33&amp;" "&amp;G33&amp;" "&amp;I33)," ",""))+1)</x:f>
      </x:c>
      <x:c r="L33" s="30" t="str">
        <x:f>IF(K33="","",ROUND(K33/2.45,0))</x:f>
      </x:c>
      <x:c r="M33" s="30" t="str">
        <x:f>IF(A33="","",LEN(D33&amp;E33&amp;F33&amp;G33&amp;I33))</x:f>
      </x:c>
      <x:c r="N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/>
      <x:c r="K34" s="30" t="str">
        <x:f>IF(TRIM(D34&amp;" "&amp;E34&amp;" "&amp;F34&amp;" "&amp;G34&amp;" "&amp;I34)="","",LEN(TRIM(D34&amp;" "&amp;E34&amp;" "&amp;F34&amp;" "&amp;G34&amp;" "&amp;I34))-LEN(SUBSTITUTE(TRIM(D34&amp;" "&amp;E34&amp;" "&amp;F34&amp;" "&amp;G34&amp;" "&amp;I34)," ",""))+1)</x:f>
      </x:c>
      <x:c r="L34" s="30" t="str">
        <x:f>IF(K34="","",ROUND(K34/2.45,0))</x:f>
      </x:c>
      <x:c r="M34" s="30" t="str">
        <x:f>IF(A34="","",LEN(D34&amp;E34&amp;F34&amp;G34&amp;I34))</x:f>
      </x:c>
      <x:c r="N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/>
      <x:c r="K35" s="30" t="str">
        <x:f>IF(TRIM(D35&amp;" "&amp;E35&amp;" "&amp;F35&amp;" "&amp;G35&amp;" "&amp;I35)="","",LEN(TRIM(D35&amp;" "&amp;E35&amp;" "&amp;F35&amp;" "&amp;G35&amp;" "&amp;I35))-LEN(SUBSTITUTE(TRIM(D35&amp;" "&amp;E35&amp;" "&amp;F35&amp;" "&amp;G35&amp;" "&amp;I35)," ",""))+1)</x:f>
      </x:c>
      <x:c r="L35" s="30" t="str">
        <x:f>IF(K35="","",ROUND(K35/2.45,0))</x:f>
      </x:c>
      <x:c r="M35" s="30" t="str">
        <x:f>IF(A35="","",LEN(D35&amp;E35&amp;F35&amp;G35&amp;I35))</x:f>
      </x:c>
      <x:c r="N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/>
      <x:c r="K36" s="30" t="str">
        <x:f>IF(TRIM(D36&amp;" "&amp;E36&amp;" "&amp;F36&amp;" "&amp;G36&amp;" "&amp;I36)="","",LEN(TRIM(D36&amp;" "&amp;E36&amp;" "&amp;F36&amp;" "&amp;G36&amp;" "&amp;I36))-LEN(SUBSTITUTE(TRIM(D36&amp;" "&amp;E36&amp;" "&amp;F36&amp;" "&amp;G36&amp;" "&amp;I36)," ",""))+1)</x:f>
      </x:c>
      <x:c r="L36" s="30" t="str">
        <x:f>IF(K36="","",ROUND(K36/2.45,0))</x:f>
      </x:c>
      <x:c r="M36" s="30" t="str">
        <x:f>IF(A36="","",LEN(D36&amp;E36&amp;F36&amp;G36&amp;I36))</x:f>
      </x:c>
      <x:c r="N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/>
      <x:c r="K37" s="30" t="str">
        <x:f>IF(TRIM(D37&amp;" "&amp;E37&amp;" "&amp;F37&amp;" "&amp;G37&amp;" "&amp;I37)="","",LEN(TRIM(D37&amp;" "&amp;E37&amp;" "&amp;F37&amp;" "&amp;G37&amp;" "&amp;I37))-LEN(SUBSTITUTE(TRIM(D37&amp;" "&amp;E37&amp;" "&amp;F37&amp;" "&amp;G37&amp;" "&amp;I37)," ",""))+1)</x:f>
      </x:c>
      <x:c r="L37" s="30" t="str">
        <x:f>IF(K37="","",ROUND(K37/2.45,0))</x:f>
      </x:c>
      <x:c r="M37" s="30" t="str">
        <x:f>IF(A37="","",LEN(D37&amp;E37&amp;F37&amp;G37&amp;I37))</x:f>
      </x:c>
      <x:c r="N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/>
      <x:c r="K38" s="30" t="str">
        <x:f>IF(TRIM(D38&amp;" "&amp;E38&amp;" "&amp;F38&amp;" "&amp;G38&amp;" "&amp;I38)="","",LEN(TRIM(D38&amp;" "&amp;E38&amp;" "&amp;F38&amp;" "&amp;G38&amp;" "&amp;I38))-LEN(SUBSTITUTE(TRIM(D38&amp;" "&amp;E38&amp;" "&amp;F38&amp;" "&amp;G38&amp;" "&amp;I38)," ",""))+1)</x:f>
      </x:c>
      <x:c r="L38" s="30" t="str">
        <x:f>IF(K38="","",ROUND(K38/2.45,0))</x:f>
      </x:c>
      <x:c r="M38" s="30" t="str">
        <x:f>IF(A38="","",LEN(D38&amp;E38&amp;F38&amp;G38&amp;I38))</x:f>
      </x:c>
      <x:c r="N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/>
      <x:c r="K39" s="30" t="str">
        <x:f>IF(TRIM(D39&amp;" "&amp;E39&amp;" "&amp;F39&amp;" "&amp;G39&amp;" "&amp;I39)="","",LEN(TRIM(D39&amp;" "&amp;E39&amp;" "&amp;F39&amp;" "&amp;G39&amp;" "&amp;I39))-LEN(SUBSTITUTE(TRIM(D39&amp;" "&amp;E39&amp;" "&amp;F39&amp;" "&amp;G39&amp;" "&amp;I39)," ",""))+1)</x:f>
      </x:c>
      <x:c r="L39" s="30" t="str">
        <x:f>IF(K39="","",ROUND(K39/2.45,0))</x:f>
      </x:c>
      <x:c r="M39" s="30" t="str">
        <x:f>IF(A39="","",LEN(D39&amp;E39&amp;F39&amp;G39&amp;I39))</x:f>
      </x:c>
      <x:c r="N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/>
      <x:c r="K40" s="30" t="str">
        <x:f>IF(TRIM(D40&amp;" "&amp;E40&amp;" "&amp;F40&amp;" "&amp;G40&amp;" "&amp;I40)="","",LEN(TRIM(D40&amp;" "&amp;E40&amp;" "&amp;F40&amp;" "&amp;G40&amp;" "&amp;I40))-LEN(SUBSTITUTE(TRIM(D40&amp;" "&amp;E40&amp;" "&amp;F40&amp;" "&amp;G40&amp;" "&amp;I40)," ",""))+1)</x:f>
      </x:c>
      <x:c r="L40" s="30" t="str">
        <x:f>IF(K40="","",ROUND(K40/2.45,0))</x:f>
      </x:c>
      <x:c r="M40" s="30" t="str">
        <x:f>IF(A40="","",LEN(D40&amp;E40&amp;F40&amp;G40&amp;I40))</x:f>
      </x:c>
      <x:c r="N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/>
      <x:c r="K41" s="30" t="str">
        <x:f>IF(TRIM(D41&amp;" "&amp;E41&amp;" "&amp;F41&amp;" "&amp;G41&amp;" "&amp;I41)="","",LEN(TRIM(D41&amp;" "&amp;E41&amp;" "&amp;F41&amp;" "&amp;G41&amp;" "&amp;I41))-LEN(SUBSTITUTE(TRIM(D41&amp;" "&amp;E41&amp;" "&amp;F41&amp;" "&amp;G41&amp;" "&amp;I41)," ",""))+1)</x:f>
      </x:c>
      <x:c r="L41" s="30" t="str">
        <x:f>IF(K41="","",ROUND(K41/2.45,0))</x:f>
      </x:c>
      <x:c r="M41" s="30" t="str">
        <x:f>IF(A41="","",LEN(D41&amp;E41&amp;F41&amp;G41&amp;I41))</x:f>
      </x:c>
      <x:c r="N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/>
      <x:c r="K42" s="30" t="str">
        <x:f>IF(TRIM(D42&amp;" "&amp;E42&amp;" "&amp;F42&amp;" "&amp;G42&amp;" "&amp;I42)="","",LEN(TRIM(D42&amp;" "&amp;E42&amp;" "&amp;F42&amp;" "&amp;G42&amp;" "&amp;I42))-LEN(SUBSTITUTE(TRIM(D42&amp;" "&amp;E42&amp;" "&amp;F42&amp;" "&amp;G42&amp;" "&amp;I42)," ",""))+1)</x:f>
      </x:c>
      <x:c r="L42" s="30" t="str">
        <x:f>IF(K42="","",ROUND(K42/2.45,0))</x:f>
      </x:c>
      <x:c r="M42" s="30" t="str">
        <x:f>IF(A42="","",LEN(D42&amp;E42&amp;F42&amp;G42&amp;I42))</x:f>
      </x:c>
      <x:c r="N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/>
      <x:c r="K43" s="30" t="str">
        <x:f>IF(TRIM(D43&amp;" "&amp;E43&amp;" "&amp;F43&amp;" "&amp;G43&amp;" "&amp;I43)="","",LEN(TRIM(D43&amp;" "&amp;E43&amp;" "&amp;F43&amp;" "&amp;G43&amp;" "&amp;I43))-LEN(SUBSTITUTE(TRIM(D43&amp;" "&amp;E43&amp;" "&amp;F43&amp;" "&amp;G43&amp;" "&amp;I43)," ",""))+1)</x:f>
      </x:c>
      <x:c r="L43" s="30" t="str">
        <x:f>IF(K43="","",ROUND(K43/2.45,0))</x:f>
      </x:c>
      <x:c r="M43" s="30" t="str">
        <x:f>IF(A43="","",LEN(D43&amp;E43&amp;F43&amp;G43&amp;I43))</x:f>
      </x:c>
      <x:c r="N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/>
      <x:c r="K44" s="30" t="str">
        <x:f>IF(TRIM(D44&amp;" "&amp;E44&amp;" "&amp;F44&amp;" "&amp;G44&amp;" "&amp;I44)="","",LEN(TRIM(D44&amp;" "&amp;E44&amp;" "&amp;F44&amp;" "&amp;G44&amp;" "&amp;I44))-LEN(SUBSTITUTE(TRIM(D44&amp;" "&amp;E44&amp;" "&amp;F44&amp;" "&amp;G44&amp;" "&amp;I44)," ",""))+1)</x:f>
      </x:c>
      <x:c r="L44" s="30" t="str">
        <x:f>IF(K44="","",ROUND(K44/2.45,0))</x:f>
      </x:c>
      <x:c r="M44" s="30" t="str">
        <x:f>IF(A44="","",LEN(D44&amp;E44&amp;F44&amp;G44&amp;I44))</x:f>
      </x:c>
      <x:c r="N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/>
      <x:c r="K45" s="30" t="str">
        <x:f>IF(TRIM(D45&amp;" "&amp;E45&amp;" "&amp;F45&amp;" "&amp;G45&amp;" "&amp;I45)="","",LEN(TRIM(D45&amp;" "&amp;E45&amp;" "&amp;F45&amp;" "&amp;G45&amp;" "&amp;I45))-LEN(SUBSTITUTE(TRIM(D45&amp;" "&amp;E45&amp;" "&amp;F45&amp;" "&amp;G45&amp;" "&amp;I45)," ",""))+1)</x:f>
      </x:c>
      <x:c r="L45" s="30" t="str">
        <x:f>IF(K45="","",ROUND(K45/2.45,0))</x:f>
      </x:c>
      <x:c r="M45" s="30" t="str">
        <x:f>IF(A45="","",LEN(D45&amp;E45&amp;F45&amp;G45&amp;I45))</x:f>
      </x:c>
      <x:c r="N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/>
      <x:c r="K46" s="30" t="str">
        <x:f>IF(TRIM(D46&amp;" "&amp;E46&amp;" "&amp;F46&amp;" "&amp;G46&amp;" "&amp;I46)="","",LEN(TRIM(D46&amp;" "&amp;E46&amp;" "&amp;F46&amp;" "&amp;G46&amp;" "&amp;I46))-LEN(SUBSTITUTE(TRIM(D46&amp;" "&amp;E46&amp;" "&amp;F46&amp;" "&amp;G46&amp;" "&amp;I46)," ",""))+1)</x:f>
      </x:c>
      <x:c r="L46" s="30" t="str">
        <x:f>IF(K46="","",ROUND(K46/2.45,0))</x:f>
      </x:c>
      <x:c r="M46" s="30" t="str">
        <x:f>IF(A46="","",LEN(D46&amp;E46&amp;F46&amp;G46&amp;I46))</x:f>
      </x:c>
      <x:c r="N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/>
      <x:c r="K47" s="30" t="str">
        <x:f>IF(TRIM(D47&amp;" "&amp;E47&amp;" "&amp;F47&amp;" "&amp;G47&amp;" "&amp;I47)="","",LEN(TRIM(D47&amp;" "&amp;E47&amp;" "&amp;F47&amp;" "&amp;G47&amp;" "&amp;I47))-LEN(SUBSTITUTE(TRIM(D47&amp;" "&amp;E47&amp;" "&amp;F47&amp;" "&amp;G47&amp;" "&amp;I47)," ",""))+1)</x:f>
      </x:c>
      <x:c r="L47" s="30" t="str">
        <x:f>IF(K47="","",ROUND(K47/2.45,0))</x:f>
      </x:c>
      <x:c r="M47" s="30" t="str">
        <x:f>IF(A47="","",LEN(D47&amp;E47&amp;F47&amp;G47&amp;I47))</x:f>
      </x:c>
      <x:c r="N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/>
      <x:c r="K48" s="30" t="str">
        <x:f>IF(TRIM(D48&amp;" "&amp;E48&amp;" "&amp;F48&amp;" "&amp;G48&amp;" "&amp;I48)="","",LEN(TRIM(D48&amp;" "&amp;E48&amp;" "&amp;F48&amp;" "&amp;G48&amp;" "&amp;I48))-LEN(SUBSTITUTE(TRIM(D48&amp;" "&amp;E48&amp;" "&amp;F48&amp;" "&amp;G48&amp;" "&amp;I48)," ",""))+1)</x:f>
      </x:c>
      <x:c r="L48" s="30" t="str">
        <x:f>IF(K48="","",ROUND(K48/2.45,0))</x:f>
      </x:c>
      <x:c r="M48" s="30" t="str">
        <x:f>IF(A48="","",LEN(D48&amp;E48&amp;F48&amp;G48&amp;I48))</x:f>
      </x:c>
      <x:c r="N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/>
      <x:c r="K49" s="30" t="str">
        <x:f>IF(TRIM(D49&amp;" "&amp;E49&amp;" "&amp;F49&amp;" "&amp;G49&amp;" "&amp;I49)="","",LEN(TRIM(D49&amp;" "&amp;E49&amp;" "&amp;F49&amp;" "&amp;G49&amp;" "&amp;I49))-LEN(SUBSTITUTE(TRIM(D49&amp;" "&amp;E49&amp;" "&amp;F49&amp;" "&amp;G49&amp;" "&amp;I49)," ",""))+1)</x:f>
      </x:c>
      <x:c r="L49" s="30" t="str">
        <x:f>IF(K49="","",ROUND(K49/2.45,0))</x:f>
      </x:c>
      <x:c r="M49" s="30" t="str">
        <x:f>IF(A49="","",LEN(D49&amp;E49&amp;F49&amp;G49&amp;I49))</x:f>
      </x:c>
      <x:c r="N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/>
      <x:c r="K50" s="30" t="str">
        <x:f>IF(TRIM(D50&amp;" "&amp;E50&amp;" "&amp;F50&amp;" "&amp;G50&amp;" "&amp;I50)="","",LEN(TRIM(D50&amp;" "&amp;E50&amp;" "&amp;F50&amp;" "&amp;G50&amp;" "&amp;I50))-LEN(SUBSTITUTE(TRIM(D50&amp;" "&amp;E50&amp;" "&amp;F50&amp;" "&amp;G50&amp;" "&amp;I50)," ",""))+1)</x:f>
      </x:c>
      <x:c r="L50" s="30" t="str">
        <x:f>IF(K50="","",ROUND(K50/2.45,0))</x:f>
      </x:c>
      <x:c r="M50" s="30" t="str">
        <x:f>IF(A50="","",LEN(D50&amp;E50&amp;F50&amp;G50&amp;I50))</x:f>
      </x:c>
      <x:c r="N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/>
      <x:c r="K51" s="30" t="str">
        <x:f>IF(TRIM(D51&amp;" "&amp;E51&amp;" "&amp;F51&amp;" "&amp;G51&amp;" "&amp;I51)="","",LEN(TRIM(D51&amp;" "&amp;E51&amp;" "&amp;F51&amp;" "&amp;G51&amp;" "&amp;I51))-LEN(SUBSTITUTE(TRIM(D51&amp;" "&amp;E51&amp;" "&amp;F51&amp;" "&amp;G51&amp;" "&amp;I51)," ",""))+1)</x:f>
      </x:c>
      <x:c r="L51" s="30" t="str">
        <x:f>IF(K51="","",ROUND(K51/2.45,0))</x:f>
      </x:c>
      <x:c r="M51" s="30" t="str">
        <x:f>IF(A51="","",LEN(D51&amp;E51&amp;F51&amp;G51&amp;I51))</x:f>
      </x:c>
      <x:c r="N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/>
      <x:c r="K52" s="30" t="str">
        <x:f>IF(TRIM(D52&amp;" "&amp;E52&amp;" "&amp;F52&amp;" "&amp;G52&amp;" "&amp;I52)="","",LEN(TRIM(D52&amp;" "&amp;E52&amp;" "&amp;F52&amp;" "&amp;G52&amp;" "&amp;I52))-LEN(SUBSTITUTE(TRIM(D52&amp;" "&amp;E52&amp;" "&amp;F52&amp;" "&amp;G52&amp;" "&amp;I52)," ",""))+1)</x:f>
      </x:c>
      <x:c r="L52" s="30" t="str">
        <x:f>IF(K52="","",ROUND(K52/2.45,0))</x:f>
      </x:c>
      <x:c r="M52" s="30" t="str">
        <x:f>IF(A52="","",LEN(D52&amp;E52&amp;F52&amp;G52&amp;I52))</x:f>
      </x:c>
      <x:c r="N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/>
      <x:c r="K53" s="30" t="str">
        <x:f>IF(TRIM(D53&amp;" "&amp;E53&amp;" "&amp;F53&amp;" "&amp;G53&amp;" "&amp;I53)="","",LEN(TRIM(D53&amp;" "&amp;E53&amp;" "&amp;F53&amp;" "&amp;G53&amp;" "&amp;I53))-LEN(SUBSTITUTE(TRIM(D53&amp;" "&amp;E53&amp;" "&amp;F53&amp;" "&amp;G53&amp;" "&amp;I53)," ",""))+1)</x:f>
      </x:c>
      <x:c r="L53" s="30" t="str">
        <x:f>IF(K53="","",ROUND(K53/2.45,0))</x:f>
      </x:c>
      <x:c r="M53" s="30" t="str">
        <x:f>IF(A53="","",LEN(D53&amp;E53&amp;F53&amp;G53&amp;I53))</x:f>
      </x:c>
      <x:c r="N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/>
      <x:c r="K54" s="30" t="str">
        <x:f>IF(TRIM(D54&amp;" "&amp;E54&amp;" "&amp;F54&amp;" "&amp;G54&amp;" "&amp;I54)="","",LEN(TRIM(D54&amp;" "&amp;E54&amp;" "&amp;F54&amp;" "&amp;G54&amp;" "&amp;I54))-LEN(SUBSTITUTE(TRIM(D54&amp;" "&amp;E54&amp;" "&amp;F54&amp;" "&amp;G54&amp;" "&amp;I54)," ",""))+1)</x:f>
      </x:c>
      <x:c r="L54" s="30" t="str">
        <x:f>IF(K54="","",ROUND(K54/2.45,0))</x:f>
      </x:c>
      <x:c r="M54" s="30" t="str">
        <x:f>IF(A54="","",LEN(D54&amp;E54&amp;F54&amp;G54&amp;I54))</x:f>
      </x:c>
      <x:c r="N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/>
      <x:c r="K55" s="30" t="str">
        <x:f>IF(TRIM(D55&amp;" "&amp;E55&amp;" "&amp;F55&amp;" "&amp;G55&amp;" "&amp;I55)="","",LEN(TRIM(D55&amp;" "&amp;E55&amp;" "&amp;F55&amp;" "&amp;G55&amp;" "&amp;I55))-LEN(SUBSTITUTE(TRIM(D55&amp;" "&amp;E55&amp;" "&amp;F55&amp;" "&amp;G55&amp;" "&amp;I55)," ",""))+1)</x:f>
      </x:c>
      <x:c r="L55" s="30" t="str">
        <x:f>IF(K55="","",ROUND(K55/2.45,0))</x:f>
      </x:c>
      <x:c r="M55" s="30" t="str">
        <x:f>IF(A55="","",LEN(D55&amp;E55&amp;F55&amp;G55&amp;I55))</x:f>
      </x:c>
      <x:c r="N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/>
      <x:c r="K56" s="30" t="str">
        <x:f>IF(TRIM(D56&amp;" "&amp;E56&amp;" "&amp;F56&amp;" "&amp;G56&amp;" "&amp;I56)="","",LEN(TRIM(D56&amp;" "&amp;E56&amp;" "&amp;F56&amp;" "&amp;G56&amp;" "&amp;I56))-LEN(SUBSTITUTE(TRIM(D56&amp;" "&amp;E56&amp;" "&amp;F56&amp;" "&amp;G56&amp;" "&amp;I56)," ",""))+1)</x:f>
      </x:c>
      <x:c r="L56" s="30" t="str">
        <x:f>IF(K56="","",ROUND(K56/2.45,0))</x:f>
      </x:c>
      <x:c r="M56" s="30" t="str">
        <x:f>IF(A56="","",LEN(D56&amp;E56&amp;F56&amp;G56&amp;I56))</x:f>
      </x:c>
      <x:c r="N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/>
      <x:c r="K57" s="30" t="str">
        <x:f>IF(TRIM(D57&amp;" "&amp;E57&amp;" "&amp;F57&amp;" "&amp;G57&amp;" "&amp;I57)="","",LEN(TRIM(D57&amp;" "&amp;E57&amp;" "&amp;F57&amp;" "&amp;G57&amp;" "&amp;I57))-LEN(SUBSTITUTE(TRIM(D57&amp;" "&amp;E57&amp;" "&amp;F57&amp;" "&amp;G57&amp;" "&amp;I57)," ",""))+1)</x:f>
      </x:c>
      <x:c r="L57" s="30" t="str">
        <x:f>IF(K57="","",ROUND(K57/2.45,0))</x:f>
      </x:c>
      <x:c r="M57" s="30" t="str">
        <x:f>IF(A57="","",LEN(D57&amp;E57&amp;F57&amp;G57&amp;I57))</x:f>
      </x:c>
      <x:c r="N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/>
      <x:c r="K58" s="30" t="str">
        <x:f>IF(TRIM(D58&amp;" "&amp;E58&amp;" "&amp;F58&amp;" "&amp;G58&amp;" "&amp;I58)="","",LEN(TRIM(D58&amp;" "&amp;E58&amp;" "&amp;F58&amp;" "&amp;G58&amp;" "&amp;I58))-LEN(SUBSTITUTE(TRIM(D58&amp;" "&amp;E58&amp;" "&amp;F58&amp;" "&amp;G58&amp;" "&amp;I58)," ",""))+1)</x:f>
      </x:c>
      <x:c r="L58" s="30" t="str">
        <x:f>IF(K58="","",ROUND(K58/2.45,0))</x:f>
      </x:c>
      <x:c r="M58" s="30" t="str">
        <x:f>IF(A58="","",LEN(D58&amp;E58&amp;F58&amp;G58&amp;I58))</x:f>
      </x:c>
      <x:c r="N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/>
      <x:c r="K59" s="30" t="str">
        <x:f>IF(TRIM(D59&amp;" "&amp;E59&amp;" "&amp;F59&amp;" "&amp;G59&amp;" "&amp;I59)="","",LEN(TRIM(D59&amp;" "&amp;E59&amp;" "&amp;F59&amp;" "&amp;G59&amp;" "&amp;I59))-LEN(SUBSTITUTE(TRIM(D59&amp;" "&amp;E59&amp;" "&amp;F59&amp;" "&amp;G59&amp;" "&amp;I59)," ",""))+1)</x:f>
      </x:c>
      <x:c r="L59" s="30" t="str">
        <x:f>IF(K59="","",ROUND(K59/2.45,0))</x:f>
      </x:c>
      <x:c r="M59" s="30" t="str">
        <x:f>IF(A59="","",LEN(D59&amp;E59&amp;F59&amp;G59&amp;I59))</x:f>
      </x:c>
      <x:c r="N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/>
      <x:c r="K60" s="30" t="str">
        <x:f>IF(TRIM(D60&amp;" "&amp;E60&amp;" "&amp;F60&amp;" "&amp;G60&amp;" "&amp;I60)="","",LEN(TRIM(D60&amp;" "&amp;E60&amp;" "&amp;F60&amp;" "&amp;G60&amp;" "&amp;I60))-LEN(SUBSTITUTE(TRIM(D60&amp;" "&amp;E60&amp;" "&amp;F60&amp;" "&amp;G60&amp;" "&amp;I60)," ",""))+1)</x:f>
      </x:c>
      <x:c r="L60" s="30" t="str">
        <x:f>IF(K60="","",ROUND(K60/2.45,0))</x:f>
      </x:c>
      <x:c r="M60" s="30" t="str">
        <x:f>IF(A60="","",LEN(D60&amp;E60&amp;F60&amp;G60&amp;I60))</x:f>
      </x:c>
      <x:c r="N60" s="30"/>
    </x:row>
    <x:row r="61">
      <x:c r="A61" s="30"/>
      <x:c r="B61" s="30"/>
      <x:c r="C61" s="30"/>
      <x:c r="D61" s="30"/>
      <x:c r="E61" s="30"/>
      <x:c r="F61" s="30"/>
      <x:c r="G61" s="30"/>
      <x:c r="H61" s="30"/>
      <x:c r="I61" s="30"/>
      <x:c r="J61" s="30"/>
      <x:c r="K61" s="30" t="str">
        <x:f>IF(TRIM(D61&amp;" "&amp;E61&amp;" "&amp;F61&amp;" "&amp;G61&amp;" "&amp;I61)="","",LEN(TRIM(D61&amp;" "&amp;E61&amp;" "&amp;F61&amp;" "&amp;G61&amp;" "&amp;I61))-LEN(SUBSTITUTE(TRIM(D61&amp;" "&amp;E61&amp;" "&amp;F61&amp;" "&amp;G61&amp;" "&amp;I61)," ",""))+1)</x:f>
      </x:c>
      <x:c r="L61" s="30" t="str">
        <x:f>IF(K61="","",ROUND(K61/2.45,0))</x:f>
      </x:c>
      <x:c r="M61" s="30" t="str">
        <x:f>IF(A61="","",LEN(D61&amp;E61&amp;F61&amp;G61&amp;I61))</x:f>
      </x:c>
      <x:c r="N61" s="30"/>
    </x:row>
    <x:row r="62">
      <x:c r="A62" s="30"/>
      <x:c r="B62" s="30"/>
      <x:c r="C62" s="30"/>
      <x:c r="D62" s="30"/>
      <x:c r="E62" s="30"/>
      <x:c r="F62" s="30"/>
      <x:c r="G62" s="30"/>
      <x:c r="H62" s="30"/>
      <x:c r="I62" s="30"/>
      <x:c r="J62" s="30"/>
      <x:c r="K62" s="30" t="str">
        <x:f>IF(TRIM(D62&amp;" "&amp;E62&amp;" "&amp;F62&amp;" "&amp;G62&amp;" "&amp;I62)="","",LEN(TRIM(D62&amp;" "&amp;E62&amp;" "&amp;F62&amp;" "&amp;G62&amp;" "&amp;I62))-LEN(SUBSTITUTE(TRIM(D62&amp;" "&amp;E62&amp;" "&amp;F62&amp;" "&amp;G62&amp;" "&amp;I62)," ",""))+1)</x:f>
      </x:c>
      <x:c r="L62" s="30" t="str">
        <x:f>IF(K62="","",ROUND(K62/2.45,0))</x:f>
      </x:c>
      <x:c r="M62" s="30" t="str">
        <x:f>IF(A62="","",LEN(D62&amp;E62&amp;F62&amp;G62&amp;I62))</x:f>
      </x:c>
      <x:c r="N62" s="30"/>
    </x:row>
    <x:row r="63">
      <x:c r="A63" s="30"/>
      <x:c r="B63" s="30"/>
      <x:c r="C63" s="30"/>
      <x:c r="D63" s="30"/>
      <x:c r="E63" s="30"/>
      <x:c r="F63" s="30"/>
      <x:c r="G63" s="30"/>
      <x:c r="H63" s="30"/>
      <x:c r="I63" s="30"/>
      <x:c r="J63" s="30"/>
      <x:c r="K63" s="30" t="str">
        <x:f>IF(TRIM(D63&amp;" "&amp;E63&amp;" "&amp;F63&amp;" "&amp;G63&amp;" "&amp;I63)="","",LEN(TRIM(D63&amp;" "&amp;E63&amp;" "&amp;F63&amp;" "&amp;G63&amp;" "&amp;I63))-LEN(SUBSTITUTE(TRIM(D63&amp;" "&amp;E63&amp;" "&amp;F63&amp;" "&amp;G63&amp;" "&amp;I63)," ",""))+1)</x:f>
      </x:c>
      <x:c r="L63" s="30" t="str">
        <x:f>IF(K63="","",ROUND(K63/2.45,0))</x:f>
      </x:c>
      <x:c r="M63" s="30" t="str">
        <x:f>IF(A63="","",LEN(D63&amp;E63&amp;F63&amp;G63&amp;I63))</x:f>
      </x:c>
      <x:c r="N63" s="30"/>
    </x:row>
    <x:row r="64">
      <x:c r="A64" s="30"/>
      <x:c r="B64" s="30"/>
      <x:c r="C64" s="30"/>
      <x:c r="D64" s="30"/>
      <x:c r="E64" s="30"/>
      <x:c r="F64" s="30"/>
      <x:c r="G64" s="30"/>
      <x:c r="H64" s="30"/>
      <x:c r="I64" s="30"/>
      <x:c r="J64" s="30"/>
      <x:c r="K64" s="30" t="str">
        <x:f>IF(TRIM(D64&amp;" "&amp;E64&amp;" "&amp;F64&amp;" "&amp;G64&amp;" "&amp;I64)="","",LEN(TRIM(D64&amp;" "&amp;E64&amp;" "&amp;F64&amp;" "&amp;G64&amp;" "&amp;I64))-LEN(SUBSTITUTE(TRIM(D64&amp;" "&amp;E64&amp;" "&amp;F64&amp;" "&amp;G64&amp;" "&amp;I64)," ",""))+1)</x:f>
      </x:c>
      <x:c r="L64" s="30" t="str">
        <x:f>IF(K64="","",ROUND(K64/2.45,0))</x:f>
      </x:c>
      <x:c r="M64" s="30" t="str">
        <x:f>IF(A64="","",LEN(D64&amp;E64&amp;F64&amp;G64&amp;I64))</x:f>
      </x:c>
      <x:c r="N64" s="30"/>
    </x:row>
    <x:row r="65">
      <x:c r="A65" s="30"/>
      <x:c r="B65" s="30"/>
      <x:c r="C65" s="30"/>
      <x:c r="D65" s="30"/>
      <x:c r="E65" s="30"/>
      <x:c r="F65" s="30"/>
      <x:c r="G65" s="30"/>
      <x:c r="H65" s="30"/>
      <x:c r="I65" s="30"/>
      <x:c r="J65" s="30"/>
      <x:c r="K65" s="30" t="str">
        <x:f>IF(TRIM(D65&amp;" "&amp;E65&amp;" "&amp;F65&amp;" "&amp;G65&amp;" "&amp;I65)="","",LEN(TRIM(D65&amp;" "&amp;E65&amp;" "&amp;F65&amp;" "&amp;G65&amp;" "&amp;I65))-LEN(SUBSTITUTE(TRIM(D65&amp;" "&amp;E65&amp;" "&amp;F65&amp;" "&amp;G65&amp;" "&amp;I65)," ",""))+1)</x:f>
      </x:c>
      <x:c r="L65" s="30" t="str">
        <x:f>IF(K65="","",ROUND(K65/2.45,0))</x:f>
      </x:c>
      <x:c r="M65" s="30" t="str">
        <x:f>IF(A65="","",LEN(D65&amp;E65&amp;F65&amp;G65&amp;I65))</x:f>
      </x:c>
      <x:c r="N65" s="30"/>
    </x:row>
    <x:row r="66">
      <x:c r="A66" s="30"/>
      <x:c r="B66" s="30"/>
      <x:c r="C66" s="30"/>
      <x:c r="D66" s="30"/>
      <x:c r="E66" s="30"/>
      <x:c r="F66" s="30"/>
      <x:c r="G66" s="30"/>
      <x:c r="H66" s="30"/>
      <x:c r="I66" s="30"/>
      <x:c r="J66" s="30"/>
      <x:c r="K66" s="30" t="str">
        <x:f>IF(TRIM(D66&amp;" "&amp;E66&amp;" "&amp;F66&amp;" "&amp;G66&amp;" "&amp;I66)="","",LEN(TRIM(D66&amp;" "&amp;E66&amp;" "&amp;F66&amp;" "&amp;G66&amp;" "&amp;I66))-LEN(SUBSTITUTE(TRIM(D66&amp;" "&amp;E66&amp;" "&amp;F66&amp;" "&amp;G66&amp;" "&amp;I66)," ",""))+1)</x:f>
      </x:c>
      <x:c r="L66" s="30" t="str">
        <x:f>IF(K66="","",ROUND(K66/2.45,0))</x:f>
      </x:c>
      <x:c r="M66" s="30" t="str">
        <x:f>IF(A66="","",LEN(D66&amp;E66&amp;F66&amp;G66&amp;I66))</x:f>
      </x:c>
      <x:c r="N66" s="30"/>
    </x:row>
    <x:row r="67">
      <x:c r="A67" s="30"/>
      <x:c r="B67" s="30"/>
      <x:c r="C67" s="30"/>
      <x:c r="D67" s="30"/>
      <x:c r="E67" s="30"/>
      <x:c r="F67" s="30"/>
      <x:c r="G67" s="30"/>
      <x:c r="H67" s="30"/>
      <x:c r="I67" s="30"/>
      <x:c r="J67" s="30"/>
      <x:c r="K67" s="30" t="str">
        <x:f>IF(TRIM(D67&amp;" "&amp;E67&amp;" "&amp;F67&amp;" "&amp;G67&amp;" "&amp;I67)="","",LEN(TRIM(D67&amp;" "&amp;E67&amp;" "&amp;F67&amp;" "&amp;G67&amp;" "&amp;I67))-LEN(SUBSTITUTE(TRIM(D67&amp;" "&amp;E67&amp;" "&amp;F67&amp;" "&amp;G67&amp;" "&amp;I67)," ",""))+1)</x:f>
      </x:c>
      <x:c r="L67" s="30" t="str">
        <x:f>IF(K67="","",ROUND(K67/2.45,0))</x:f>
      </x:c>
      <x:c r="M67" s="30" t="str">
        <x:f>IF(A67="","",LEN(D67&amp;E67&amp;F67&amp;G67&amp;I67))</x:f>
      </x:c>
      <x:c r="N67" s="30"/>
    </x:row>
    <x:row r="68">
      <x:c r="A68" s="30"/>
      <x:c r="B68" s="30"/>
      <x:c r="C68" s="30"/>
      <x:c r="D68" s="30"/>
      <x:c r="E68" s="30"/>
      <x:c r="F68" s="30"/>
      <x:c r="G68" s="30"/>
      <x:c r="H68" s="30"/>
      <x:c r="I68" s="30"/>
      <x:c r="J68" s="30"/>
      <x:c r="K68" s="30" t="str">
        <x:f>IF(TRIM(D68&amp;" "&amp;E68&amp;" "&amp;F68&amp;" "&amp;G68&amp;" "&amp;I68)="","",LEN(TRIM(D68&amp;" "&amp;E68&amp;" "&amp;F68&amp;" "&amp;G68&amp;" "&amp;I68))-LEN(SUBSTITUTE(TRIM(D68&amp;" "&amp;E68&amp;" "&amp;F68&amp;" "&amp;G68&amp;" "&amp;I68)," ",""))+1)</x:f>
      </x:c>
      <x:c r="L68" s="30" t="str">
        <x:f>IF(K68="","",ROUND(K68/2.45,0))</x:f>
      </x:c>
      <x:c r="M68" s="30" t="str">
        <x:f>IF(A68="","",LEN(D68&amp;E68&amp;F68&amp;G68&amp;I68))</x:f>
      </x:c>
      <x:c r="N68" s="30"/>
    </x:row>
    <x:row r="69">
      <x:c r="A69" s="30"/>
      <x:c r="B69" s="30"/>
      <x:c r="C69" s="30"/>
      <x:c r="D69" s="30"/>
      <x:c r="E69" s="30"/>
      <x:c r="F69" s="30"/>
      <x:c r="G69" s="30"/>
      <x:c r="H69" s="30"/>
      <x:c r="I69" s="30"/>
      <x:c r="J69" s="30"/>
      <x:c r="K69" s="30" t="str">
        <x:f>IF(TRIM(D69&amp;" "&amp;E69&amp;" "&amp;F69&amp;" "&amp;G69&amp;" "&amp;I69)="","",LEN(TRIM(D69&amp;" "&amp;E69&amp;" "&amp;F69&amp;" "&amp;G69&amp;" "&amp;I69))-LEN(SUBSTITUTE(TRIM(D69&amp;" "&amp;E69&amp;" "&amp;F69&amp;" "&amp;G69&amp;" "&amp;I69)," ",""))+1)</x:f>
      </x:c>
      <x:c r="L69" s="30" t="str">
        <x:f>IF(K69="","",ROUND(K69/2.45,0))</x:f>
      </x:c>
      <x:c r="M69" s="30" t="str">
        <x:f>IF(A69="","",LEN(D69&amp;E69&amp;F69&amp;G69&amp;I69))</x:f>
      </x:c>
      <x:c r="N69" s="30"/>
    </x:row>
    <x:row r="70">
      <x:c r="A70" s="30"/>
      <x:c r="B70" s="30"/>
      <x:c r="C70" s="30"/>
      <x:c r="D70" s="30"/>
      <x:c r="E70" s="30"/>
      <x:c r="F70" s="30"/>
      <x:c r="G70" s="30"/>
      <x:c r="H70" s="30"/>
      <x:c r="I70" s="30"/>
      <x:c r="J70" s="30"/>
      <x:c r="K70" s="30" t="str">
        <x:f>IF(TRIM(D70&amp;" "&amp;E70&amp;" "&amp;F70&amp;" "&amp;G70&amp;" "&amp;I70)="","",LEN(TRIM(D70&amp;" "&amp;E70&amp;" "&amp;F70&amp;" "&amp;G70&amp;" "&amp;I70))-LEN(SUBSTITUTE(TRIM(D70&amp;" "&amp;E70&amp;" "&amp;F70&amp;" "&amp;G70&amp;" "&amp;I70)," ",""))+1)</x:f>
      </x:c>
      <x:c r="L70" s="30" t="str">
        <x:f>IF(K70="","",ROUND(K70/2.45,0))</x:f>
      </x:c>
      <x:c r="M70" s="30" t="str">
        <x:f>IF(A70="","",LEN(D70&amp;E70&amp;F70&amp;G70&amp;I70))</x:f>
      </x:c>
      <x:c r="N70" s="30"/>
    </x:row>
    <x:row r="71">
      <x:c r="A71" s="30"/>
      <x:c r="B71" s="30"/>
      <x:c r="C71" s="30"/>
      <x:c r="D71" s="30"/>
      <x:c r="E71" s="30"/>
      <x:c r="F71" s="30"/>
      <x:c r="G71" s="30"/>
      <x:c r="H71" s="30"/>
      <x:c r="I71" s="30"/>
      <x:c r="J71" s="30"/>
      <x:c r="K71" s="30" t="str">
        <x:f>IF(TRIM(D71&amp;" "&amp;E71&amp;" "&amp;F71&amp;" "&amp;G71&amp;" "&amp;I71)="","",LEN(TRIM(D71&amp;" "&amp;E71&amp;" "&amp;F71&amp;" "&amp;G71&amp;" "&amp;I71))-LEN(SUBSTITUTE(TRIM(D71&amp;" "&amp;E71&amp;" "&amp;F71&amp;" "&amp;G71&amp;" "&amp;I71)," ",""))+1)</x:f>
      </x:c>
      <x:c r="L71" s="30" t="str">
        <x:f>IF(K71="","",ROUND(K71/2.45,0))</x:f>
      </x:c>
      <x:c r="M71" s="30" t="str">
        <x:f>IF(A71="","",LEN(D71&amp;E71&amp;F71&amp;G71&amp;I71))</x:f>
      </x:c>
      <x:c r="N71" s="30"/>
    </x:row>
    <x:row r="72">
      <x:c r="A72" s="30"/>
      <x:c r="B72" s="30"/>
      <x:c r="C72" s="30"/>
      <x:c r="D72" s="30"/>
      <x:c r="E72" s="30"/>
      <x:c r="F72" s="30"/>
      <x:c r="G72" s="30"/>
      <x:c r="H72" s="30"/>
      <x:c r="I72" s="30"/>
      <x:c r="J72" s="30"/>
      <x:c r="K72" s="30" t="str">
        <x:f>IF(TRIM(D72&amp;" "&amp;E72&amp;" "&amp;F72&amp;" "&amp;G72&amp;" "&amp;I72)="","",LEN(TRIM(D72&amp;" "&amp;E72&amp;" "&amp;F72&amp;" "&amp;G72&amp;" "&amp;I72))-LEN(SUBSTITUTE(TRIM(D72&amp;" "&amp;E72&amp;" "&amp;F72&amp;" "&amp;G72&amp;" "&amp;I72)," ",""))+1)</x:f>
      </x:c>
      <x:c r="L72" s="30" t="str">
        <x:f>IF(K72="","",ROUND(K72/2.45,0))</x:f>
      </x:c>
      <x:c r="M72" s="30" t="str">
        <x:f>IF(A72="","",LEN(D72&amp;E72&amp;F72&amp;G72&amp;I72))</x:f>
      </x:c>
      <x:c r="N72" s="30"/>
    </x:row>
    <x:row r="73">
      <x:c r="A73" s="30"/>
      <x:c r="B73" s="30"/>
      <x:c r="C73" s="30"/>
      <x:c r="D73" s="30"/>
      <x:c r="E73" s="30"/>
      <x:c r="F73" s="30"/>
      <x:c r="G73" s="30"/>
      <x:c r="H73" s="30"/>
      <x:c r="I73" s="30"/>
      <x:c r="J73" s="30"/>
      <x:c r="K73" s="30" t="str">
        <x:f>IF(TRIM(D73&amp;" "&amp;E73&amp;" "&amp;F73&amp;" "&amp;G73&amp;" "&amp;I73)="","",LEN(TRIM(D73&amp;" "&amp;E73&amp;" "&amp;F73&amp;" "&amp;G73&amp;" "&amp;I73))-LEN(SUBSTITUTE(TRIM(D73&amp;" "&amp;E73&amp;" "&amp;F73&amp;" "&amp;G73&amp;" "&amp;I73)," ",""))+1)</x:f>
      </x:c>
      <x:c r="L73" s="30" t="str">
        <x:f>IF(K73="","",ROUND(K73/2.45,0))</x:f>
      </x:c>
      <x:c r="M73" s="30" t="str">
        <x:f>IF(A73="","",LEN(D73&amp;E73&amp;F73&amp;G73&amp;I73))</x:f>
      </x:c>
      <x:c r="N73" s="30"/>
    </x:row>
    <x:row r="74">
      <x:c r="A74" s="30"/>
      <x:c r="B74" s="30"/>
      <x:c r="C74" s="30"/>
      <x:c r="D74" s="30"/>
      <x:c r="E74" s="30"/>
      <x:c r="F74" s="30"/>
      <x:c r="G74" s="30"/>
      <x:c r="H74" s="30"/>
      <x:c r="I74" s="30"/>
      <x:c r="J74" s="30"/>
      <x:c r="K74" s="30" t="str">
        <x:f>IF(TRIM(D74&amp;" "&amp;E74&amp;" "&amp;F74&amp;" "&amp;G74&amp;" "&amp;I74)="","",LEN(TRIM(D74&amp;" "&amp;E74&amp;" "&amp;F74&amp;" "&amp;G74&amp;" "&amp;I74))-LEN(SUBSTITUTE(TRIM(D74&amp;" "&amp;E74&amp;" "&amp;F74&amp;" "&amp;G74&amp;" "&amp;I74)," ",""))+1)</x:f>
      </x:c>
      <x:c r="L74" s="30" t="str">
        <x:f>IF(K74="","",ROUND(K74/2.45,0))</x:f>
      </x:c>
      <x:c r="M74" s="30" t="str">
        <x:f>IF(A74="","",LEN(D74&amp;E74&amp;F74&amp;G74&amp;I74))</x:f>
      </x:c>
      <x:c r="N74" s="30"/>
    </x:row>
    <x:row r="75">
      <x:c r="A75" s="30"/>
      <x:c r="B75" s="30"/>
      <x:c r="C75" s="30"/>
      <x:c r="D75" s="30"/>
      <x:c r="E75" s="30"/>
      <x:c r="F75" s="30"/>
      <x:c r="G75" s="30"/>
      <x:c r="H75" s="30"/>
      <x:c r="I75" s="30"/>
      <x:c r="J75" s="30"/>
      <x:c r="K75" s="30" t="str">
        <x:f>IF(TRIM(D75&amp;" "&amp;E75&amp;" "&amp;F75&amp;" "&amp;G75&amp;" "&amp;I75)="","",LEN(TRIM(D75&amp;" "&amp;E75&amp;" "&amp;F75&amp;" "&amp;G75&amp;" "&amp;I75))-LEN(SUBSTITUTE(TRIM(D75&amp;" "&amp;E75&amp;" "&amp;F75&amp;" "&amp;G75&amp;" "&amp;I75)," ",""))+1)</x:f>
      </x:c>
      <x:c r="L75" s="30" t="str">
        <x:f>IF(K75="","",ROUND(K75/2.45,0))</x:f>
      </x:c>
      <x:c r="M75" s="30" t="str">
        <x:f>IF(A75="","",LEN(D75&amp;E75&amp;F75&amp;G75&amp;I75))</x:f>
      </x:c>
      <x:c r="N75" s="30"/>
    </x:row>
    <x:row r="76">
      <x:c r="A76" s="30"/>
      <x:c r="B76" s="30"/>
      <x:c r="C76" s="30"/>
      <x:c r="D76" s="30"/>
      <x:c r="E76" s="30"/>
      <x:c r="F76" s="30"/>
      <x:c r="G76" s="30"/>
      <x:c r="H76" s="30"/>
      <x:c r="I76" s="30"/>
      <x:c r="J76" s="30"/>
      <x:c r="K76" s="30" t="str">
        <x:f>IF(TRIM(D76&amp;" "&amp;E76&amp;" "&amp;F76&amp;" "&amp;G76&amp;" "&amp;I76)="","",LEN(TRIM(D76&amp;" "&amp;E76&amp;" "&amp;F76&amp;" "&amp;G76&amp;" "&amp;I76))-LEN(SUBSTITUTE(TRIM(D76&amp;" "&amp;E76&amp;" "&amp;F76&amp;" "&amp;G76&amp;" "&amp;I76)," ",""))+1)</x:f>
      </x:c>
      <x:c r="L76" s="30" t="str">
        <x:f>IF(K76="","",ROUND(K76/2.45,0))</x:f>
      </x:c>
      <x:c r="M76" s="30" t="str">
        <x:f>IF(A76="","",LEN(D76&amp;E76&amp;F76&amp;G76&amp;I76))</x:f>
      </x:c>
      <x:c r="N76" s="30"/>
    </x:row>
    <x:row r="77">
      <x:c r="A77" s="30"/>
      <x:c r="B77" s="30"/>
      <x:c r="C77" s="30"/>
      <x:c r="D77" s="30"/>
      <x:c r="E77" s="30"/>
      <x:c r="F77" s="30"/>
      <x:c r="G77" s="30"/>
      <x:c r="H77" s="30"/>
      <x:c r="I77" s="30"/>
      <x:c r="J77" s="30"/>
      <x:c r="K77" s="30" t="str">
        <x:f>IF(TRIM(D77&amp;" "&amp;E77&amp;" "&amp;F77&amp;" "&amp;G77&amp;" "&amp;I77)="","",LEN(TRIM(D77&amp;" "&amp;E77&amp;" "&amp;F77&amp;" "&amp;G77&amp;" "&amp;I77))-LEN(SUBSTITUTE(TRIM(D77&amp;" "&amp;E77&amp;" "&amp;F77&amp;" "&amp;G77&amp;" "&amp;I77)," ",""))+1)</x:f>
      </x:c>
      <x:c r="L77" s="30" t="str">
        <x:f>IF(K77="","",ROUND(K77/2.45,0))</x:f>
      </x:c>
      <x:c r="M77" s="30" t="str">
        <x:f>IF(A77="","",LEN(D77&amp;E77&amp;F77&amp;G77&amp;I77))</x:f>
      </x:c>
      <x:c r="N77" s="30"/>
    </x:row>
    <x:row r="78">
      <x:c r="A78" s="30"/>
      <x:c r="B78" s="30"/>
      <x:c r="C78" s="30"/>
      <x:c r="D78" s="30"/>
      <x:c r="E78" s="30"/>
      <x:c r="F78" s="30"/>
      <x:c r="G78" s="30"/>
      <x:c r="H78" s="30"/>
      <x:c r="I78" s="30"/>
      <x:c r="J78" s="30"/>
      <x:c r="K78" s="30" t="str">
        <x:f>IF(TRIM(D78&amp;" "&amp;E78&amp;" "&amp;F78&amp;" "&amp;G78&amp;" "&amp;I78)="","",LEN(TRIM(D78&amp;" "&amp;E78&amp;" "&amp;F78&amp;" "&amp;G78&amp;" "&amp;I78))-LEN(SUBSTITUTE(TRIM(D78&amp;" "&amp;E78&amp;" "&amp;F78&amp;" "&amp;G78&amp;" "&amp;I78)," ",""))+1)</x:f>
      </x:c>
      <x:c r="L78" s="30" t="str">
        <x:f>IF(K78="","",ROUND(K78/2.45,0))</x:f>
      </x:c>
      <x:c r="M78" s="30" t="str">
        <x:f>IF(A78="","",LEN(D78&amp;E78&amp;F78&amp;G78&amp;I78))</x:f>
      </x:c>
      <x:c r="N78" s="30"/>
    </x:row>
    <x:row r="79">
      <x:c r="A79" s="30"/>
      <x:c r="B79" s="30"/>
      <x:c r="C79" s="30"/>
      <x:c r="D79" s="30"/>
      <x:c r="E79" s="30"/>
      <x:c r="F79" s="30"/>
      <x:c r="G79" s="30"/>
      <x:c r="H79" s="30"/>
      <x:c r="I79" s="30"/>
      <x:c r="J79" s="30"/>
      <x:c r="K79" s="30" t="str">
        <x:f>IF(TRIM(D79&amp;" "&amp;E79&amp;" "&amp;F79&amp;" "&amp;G79&amp;" "&amp;I79)="","",LEN(TRIM(D79&amp;" "&amp;E79&amp;" "&amp;F79&amp;" "&amp;G79&amp;" "&amp;I79))-LEN(SUBSTITUTE(TRIM(D79&amp;" "&amp;E79&amp;" "&amp;F79&amp;" "&amp;G79&amp;" "&amp;I79)," ",""))+1)</x:f>
      </x:c>
      <x:c r="L79" s="30" t="str">
        <x:f>IF(K79="","",ROUND(K79/2.45,0))</x:f>
      </x:c>
      <x:c r="M79" s="30" t="str">
        <x:f>IF(A79="","",LEN(D79&amp;E79&amp;F79&amp;G79&amp;I79))</x:f>
      </x:c>
      <x:c r="N79" s="30"/>
    </x:row>
    <x:row r="80">
      <x:c r="A80" s="30"/>
      <x:c r="B80" s="30"/>
      <x:c r="C80" s="30"/>
      <x:c r="D80" s="30"/>
      <x:c r="E80" s="30"/>
      <x:c r="F80" s="30"/>
      <x:c r="G80" s="30"/>
      <x:c r="H80" s="30"/>
      <x:c r="I80" s="30"/>
      <x:c r="J80" s="30"/>
      <x:c r="K80" s="30" t="str">
        <x:f>IF(TRIM(D80&amp;" "&amp;E80&amp;" "&amp;F80&amp;" "&amp;G80&amp;" "&amp;I80)="","",LEN(TRIM(D80&amp;" "&amp;E80&amp;" "&amp;F80&amp;" "&amp;G80&amp;" "&amp;I80))-LEN(SUBSTITUTE(TRIM(D80&amp;" "&amp;E80&amp;" "&amp;F80&amp;" "&amp;G80&amp;" "&amp;I80)," ",""))+1)</x:f>
      </x:c>
      <x:c r="L80" s="30" t="str">
        <x:f>IF(K80="","",ROUND(K80/2.45,0))</x:f>
      </x:c>
      <x:c r="M80" s="30" t="str">
        <x:f>IF(A80="","",LEN(D80&amp;E80&amp;F80&amp;G80&amp;I80))</x:f>
      </x:c>
      <x:c r="N80" s="30"/>
    </x:row>
  </x:sheetData>
  <x:mergeCells>
    <x:mergeCell ref="A1:H2"/>
    <x:mergeCell ref="A3:H3"/>
  </x:mergeCells>
  <x:conditionalFormatting sqref="J7:J80">
    <x:cfRule type="expression" dxfId="77" priority="1">
      <x:formula>J7="ACEITO"</x:formula>
    </x:cfRule>
    <x:cfRule type="expression" dxfId="78" priority="2">
      <x:formula>J7="PUBLICADO"</x:formula>
    </x:cfRule>
    <x:cfRule type="expression" dxfId="79" priority="3">
      <x:formula>J7="EM PRODUÇÃO"</x:formula>
    </x:cfRule>
    <x:cfRule type="expression" dxfId="80" priority="4">
      <x:formula>J7="ARGUMENTAÇÃO"</x:formula>
    </x:cfRule>
    <x:cfRule type="expression" dxfId="81" priority="5">
      <x:formula>J7="PESQUISA"</x:formula>
    </x:cfRule>
    <x:cfRule type="expression" dxfId="82" priority="6">
      <x:formula>J7="EM REVISÃO"</x:formula>
    </x:cfRule>
    <x:cfRule type="expression" dxfId="83" priority="7">
      <x:formula>J7="EM RISCO"</x:formula>
    </x:cfRule>
    <x:cfRule type="expression" dxfId="84" priority="8">
      <x:formula>J7="BLOQUEADO"</x:formula>
    </x:cfRule>
    <x:cfRule type="expression" dxfId="85" priority="9">
      <x:formula>J7="RASCUNHO"</x:formula>
    </x:cfRule>
    <x:cfRule type="expression" dxfId="86" priority="10">
      <x:formula>J7="PLANEJADO"</x:formula>
    </x:cfRule>
    <x:cfRule type="expression" dxfId="87" priority="11">
      <x:formula>J7="TRIAGEM"</x:formula>
    </x:cfRule>
  </x:conditionalFormatting>
  <x:dataValidations count="2">
    <x:dataValidation type="list" sqref="C7:C80">
      <x:formula1>'19_CONFIG_LISTAS'!$E$7:$E$14</x:formula1>
    </x:dataValidation>
    <x:dataValidation type="list" sqref="J7:J80">
      <x:formula1>'19_CONFIG_LISTAS'!$A$7:$A$23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38" hidden="0" customWidth="1"/>
    <x:col min="6" max="6" width="70" hidden="0" customWidth="1"/>
    <x:col min="7" max="7" width="34" hidden="0" customWidth="1"/>
    <x:col min="8" max="8" width="14" hidden="0" customWidth="1"/>
    <x:col min="9" max="9" width="14" hidden="0" customWidth="1"/>
    <x:col min="10" max="10" width="18" hidden="0" customWidth="1"/>
    <x:col min="11" max="11" width="44" hidden="0" customWidth="1"/>
  </x:cols>
  <x:sheetData>
    <x:row r="1">
      <x:c r="A1" s="4" t="str">
        <x:v>SOCIAL · CROSS-PLATFORM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Adaptação por canal. Preserve a ideia; mude hook, profundidade, visual e CTA.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Asset_ID</x:v>
      </x:c>
      <x:c r="B6" s="23" t="str">
        <x:v>Content_ID</x:v>
      </x:c>
      <x:c r="C6" s="23" t="str">
        <x:v>Canal</x:v>
      </x:c>
      <x:c r="D6" s="23" t="str">
        <x:v>Formato</x:v>
      </x:c>
      <x:c r="E6" s="23" t="str">
        <x:v>Hook / título</x:v>
      </x:c>
      <x:c r="F6" s="23" t="str">
        <x:v>Copy</x:v>
      </x:c>
      <x:c r="G6" s="23" t="str">
        <x:v>CTA</x:v>
      </x:c>
      <x:c r="H6" s="23" t="str">
        <x:v>Chars</x:v>
      </x:c>
      <x:c r="I6" s="23" t="str">
        <x:v>Palavras</x:v>
      </x:c>
      <x:c r="J6" s="23" t="str">
        <x:v>Status</x:v>
      </x:c>
      <x:c r="K6" s="23" t="str">
        <x:v>Link</x:v>
      </x:c>
    </x:row>
    <x:row r="7">
      <x:c r="A7" s="30" t="str">
        <x:v>AST-RC-0003</x:v>
      </x:c>
      <x:c r="B7" s="30" t="str">
        <x:v>CNT-RC-0001</x:v>
      </x:c>
      <x:c r="C7" s="30" t="str">
        <x:v>LinkedIn</x:v>
      </x:c>
      <x:c r="D7" s="30" t="str">
        <x:v>Post textual</x:v>
      </x:c>
      <x:c r="E7" s="30" t="str">
        <x:v>O limite da expressão erro humano</x:v>
      </x:c>
      <x:c r="F7" s="30" t="str"/>
      <x:c r="G7" s="30" t="str">
        <x:v>Ler artigo</x:v>
      </x:c>
      <x:c r="H7" s="30" t="str">
        <x:f>IF(F7="","",LEN(F7))</x:f>
      </x:c>
      <x:c r="I7" s="30" t="str">
        <x:f>IF(TRIM(F7)="","",LEN(TRIM(F7))-LEN(SUBSTITUTE(TRIM(F7)," ",""))+1)</x:f>
      </x:c>
      <x:c r="J7" s="30" t="str">
        <x:v>PLANEJADO</x:v>
      </x:c>
      <x:c r="K7" s="30" t="str"/>
    </x:row>
    <x:row r="8">
      <x:c r="A8" s="30" t="str">
        <x:v>AST-RC-0005</x:v>
      </x:c>
      <x:c r="B8" s="30" t="str">
        <x:v>CNT-RC-0002</x:v>
      </x:c>
      <x:c r="C8" s="30" t="str">
        <x:v>Instagram</x:v>
      </x:c>
      <x:c r="D8" s="30" t="str">
        <x:v>Carrossel</x:v>
      </x:c>
      <x:c r="E8" s="30" t="str">
        <x:v>Cinco classes de fatores de risco cognitivo</x:v>
      </x:c>
      <x:c r="F8" s="30" t="str"/>
      <x:c r="G8" s="30" t="str">
        <x:v>Ler artigo</x:v>
      </x:c>
      <x:c r="H8" s="30" t="str">
        <x:f>IF(F8="","",LEN(F8))</x:f>
      </x:c>
      <x:c r="I8" s="30" t="str">
        <x:f>IF(TRIM(F8)="","",LEN(TRIM(F8))-LEN(SUBSTITUTE(TRIM(F8)," ",""))+1)</x:f>
      </x:c>
      <x:c r="J8" s="30" t="str">
        <x:v>PLANEJADO</x:v>
      </x:c>
      <x:c r="K8" s="30" t="str"/>
    </x:row>
    <x:row r="9">
      <x:c r="A9" s="30" t="str"/>
      <x:c r="B9" s="30" t="str">
        <x:v>CNT-RC-0003</x:v>
      </x:c>
      <x:c r="C9" s="30" t="str">
        <x:v>Threads</x:v>
      </x:c>
      <x:c r="D9" s="30" t="str">
        <x:v>Post textual</x:v>
      </x:c>
      <x:c r="E9" s="30" t="str">
        <x:v>Mesmo fator, exposições diferentes</x:v>
      </x:c>
      <x:c r="F9" s="30" t="str"/>
      <x:c r="G9" s="30" t="str">
        <x:v>Ler artigo</x:v>
      </x:c>
      <x:c r="H9" s="30" t="str">
        <x:f>IF(F9="","",LEN(F9))</x:f>
      </x:c>
      <x:c r="I9" s="30" t="str">
        <x:f>IF(TRIM(F9)="","",LEN(TRIM(F9))-LEN(SUBSTITUTE(TRIM(F9)," ",""))+1)</x:f>
      </x:c>
      <x:c r="J9" s="30" t="str">
        <x:v>PLANEJADO</x:v>
      </x:c>
      <x:c r="K9" s="30" t="str"/>
    </x:row>
    <x:row r="10">
      <x:c r="A10" s="30"/>
      <x:c r="B10" s="30"/>
      <x:c r="C10" s="30"/>
      <x:c r="D10" s="30"/>
      <x:c r="E10" s="30"/>
      <x:c r="F10" s="30"/>
      <x:c r="G10" s="30"/>
      <x:c r="H10" s="30" t="str">
        <x:f>IF(F10="","",LEN(F10))</x:f>
      </x:c>
      <x:c r="I10" s="30" t="str">
        <x:f>IF(TRIM(F10)="","",LEN(TRIM(F10))-LEN(SUBSTITUTE(TRIM(F10)," ",""))+1)</x:f>
      </x:c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0" t="str">
        <x:f>IF(F11="","",LEN(F11))</x:f>
      </x:c>
      <x:c r="I11" s="30" t="str">
        <x:f>IF(TRIM(F11)="","",LEN(TRIM(F11))-LEN(SUBSTITUTE(TRIM(F11)," ",""))+1)</x:f>
      </x:c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0" t="str">
        <x:f>IF(F12="","",LEN(F12))</x:f>
      </x:c>
      <x:c r="I12" s="30" t="str">
        <x:f>IF(TRIM(F12)="","",LEN(TRIM(F12))-LEN(SUBSTITUTE(TRIM(F12)," ",""))+1)</x:f>
      </x:c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0" t="str">
        <x:f>IF(F13="","",LEN(F13))</x:f>
      </x:c>
      <x:c r="I13" s="30" t="str">
        <x:f>IF(TRIM(F13)="","",LEN(TRIM(F13))-LEN(SUBSTITUTE(TRIM(F13)," ",""))+1)</x:f>
      </x:c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0" t="str">
        <x:f>IF(F14="","",LEN(F14))</x:f>
      </x:c>
      <x:c r="I14" s="30" t="str">
        <x:f>IF(TRIM(F14)="","",LEN(TRIM(F14))-LEN(SUBSTITUTE(TRIM(F14)," ",""))+1)</x:f>
      </x:c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0" t="str">
        <x:f>IF(F15="","",LEN(F15))</x:f>
      </x:c>
      <x:c r="I15" s="30" t="str">
        <x:f>IF(TRIM(F15)="","",LEN(TRIM(F15))-LEN(SUBSTITUTE(TRIM(F15)," ",""))+1)</x:f>
      </x:c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0" t="str">
        <x:f>IF(F16="","",LEN(F16))</x:f>
      </x:c>
      <x:c r="I16" s="30" t="str">
        <x:f>IF(TRIM(F16)="","",LEN(TRIM(F16))-LEN(SUBSTITUTE(TRIM(F16)," ",""))+1)</x:f>
      </x:c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0" t="str">
        <x:f>IF(F17="","",LEN(F17))</x:f>
      </x:c>
      <x:c r="I17" s="30" t="str">
        <x:f>IF(TRIM(F17)="","",LEN(TRIM(F17))-LEN(SUBSTITUTE(TRIM(F17)," ",""))+1)</x:f>
      </x:c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0" t="str">
        <x:f>IF(F18="","",LEN(F18))</x:f>
      </x:c>
      <x:c r="I18" s="30" t="str">
        <x:f>IF(TRIM(F18)="","",LEN(TRIM(F18))-LEN(SUBSTITUTE(TRIM(F18)," ",""))+1)</x:f>
      </x:c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0" t="str">
        <x:f>IF(F19="","",LEN(F19))</x:f>
      </x:c>
      <x:c r="I19" s="30" t="str">
        <x:f>IF(TRIM(F19)="","",LEN(TRIM(F19))-LEN(SUBSTITUTE(TRIM(F19)," ",""))+1)</x:f>
      </x:c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0" t="str">
        <x:f>IF(F20="","",LEN(F20))</x:f>
      </x:c>
      <x:c r="I20" s="30" t="str">
        <x:f>IF(TRIM(F20)="","",LEN(TRIM(F20))-LEN(SUBSTITUTE(TRIM(F20)," ",""))+1)</x:f>
      </x:c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0" t="str">
        <x:f>IF(F21="","",LEN(F21))</x:f>
      </x:c>
      <x:c r="I21" s="30" t="str">
        <x:f>IF(TRIM(F21)="","",LEN(TRIM(F21))-LEN(SUBSTITUTE(TRIM(F21)," ",""))+1)</x:f>
      </x:c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0" t="str">
        <x:f>IF(F22="","",LEN(F22))</x:f>
      </x:c>
      <x:c r="I22" s="30" t="str">
        <x:f>IF(TRIM(F22)="","",LEN(TRIM(F22))-LEN(SUBSTITUTE(TRIM(F22)," ",""))+1)</x:f>
      </x:c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0" t="str">
        <x:f>IF(F23="","",LEN(F23))</x:f>
      </x:c>
      <x:c r="I23" s="30" t="str">
        <x:f>IF(TRIM(F23)="","",LEN(TRIM(F23))-LEN(SUBSTITUTE(TRIM(F23)," ",""))+1)</x:f>
      </x:c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0" t="str">
        <x:f>IF(F24="","",LEN(F24))</x:f>
      </x:c>
      <x:c r="I24" s="30" t="str">
        <x:f>IF(TRIM(F24)="","",LEN(TRIM(F24))-LEN(SUBSTITUTE(TRIM(F24)," ",""))+1)</x:f>
      </x:c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0" t="str">
        <x:f>IF(F25="","",LEN(F25))</x:f>
      </x:c>
      <x:c r="I25" s="30" t="str">
        <x:f>IF(TRIM(F25)="","",LEN(TRIM(F25))-LEN(SUBSTITUTE(TRIM(F25)," ",""))+1)</x:f>
      </x:c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0" t="str">
        <x:f>IF(F26="","",LEN(F26))</x:f>
      </x:c>
      <x:c r="I26" s="30" t="str">
        <x:f>IF(TRIM(F26)="","",LEN(TRIM(F26))-LEN(SUBSTITUTE(TRIM(F26)," ",""))+1)</x:f>
      </x:c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0" t="str">
        <x:f>IF(F27="","",LEN(F27))</x:f>
      </x:c>
      <x:c r="I27" s="30" t="str">
        <x:f>IF(TRIM(F27)="","",LEN(TRIM(F27))-LEN(SUBSTITUTE(TRIM(F27)," ",""))+1)</x:f>
      </x:c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0" t="str">
        <x:f>IF(F28="","",LEN(F28))</x:f>
      </x:c>
      <x:c r="I28" s="30" t="str">
        <x:f>IF(TRIM(F28)="","",LEN(TRIM(F28))-LEN(SUBSTITUTE(TRIM(F28)," ",""))+1)</x:f>
      </x:c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0" t="str">
        <x:f>IF(F29="","",LEN(F29))</x:f>
      </x:c>
      <x:c r="I29" s="30" t="str">
        <x:f>IF(TRIM(F29)="","",LEN(TRIM(F29))-LEN(SUBSTITUTE(TRIM(F29)," ",""))+1)</x:f>
      </x:c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0" t="str">
        <x:f>IF(F30="","",LEN(F30))</x:f>
      </x:c>
      <x:c r="I30" s="30" t="str">
        <x:f>IF(TRIM(F30)="","",LEN(TRIM(F30))-LEN(SUBSTITUTE(TRIM(F30)," ",""))+1)</x:f>
      </x:c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0" t="str">
        <x:f>IF(F31="","",LEN(F31))</x:f>
      </x:c>
      <x:c r="I31" s="30" t="str">
        <x:f>IF(TRIM(F31)="","",LEN(TRIM(F31))-LEN(SUBSTITUTE(TRIM(F31)," ",""))+1)</x:f>
      </x:c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0" t="str">
        <x:f>IF(F32="","",LEN(F32))</x:f>
      </x:c>
      <x:c r="I32" s="30" t="str">
        <x:f>IF(TRIM(F32)="","",LEN(TRIM(F32))-LEN(SUBSTITUTE(TRIM(F32)," ",""))+1)</x:f>
      </x:c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0" t="str">
        <x:f>IF(F33="","",LEN(F33))</x:f>
      </x:c>
      <x:c r="I33" s="30" t="str">
        <x:f>IF(TRIM(F33)="","",LEN(TRIM(F33))-LEN(SUBSTITUTE(TRIM(F33)," ",""))+1)</x:f>
      </x:c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0" t="str">
        <x:f>IF(F34="","",LEN(F34))</x:f>
      </x:c>
      <x:c r="I34" s="30" t="str">
        <x:f>IF(TRIM(F34)="","",LEN(TRIM(F34))-LEN(SUBSTITUTE(TRIM(F34)," ",""))+1)</x:f>
      </x:c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0" t="str">
        <x:f>IF(F35="","",LEN(F35))</x:f>
      </x:c>
      <x:c r="I35" s="30" t="str">
        <x:f>IF(TRIM(F35)="","",LEN(TRIM(F35))-LEN(SUBSTITUTE(TRIM(F35)," ",""))+1)</x:f>
      </x:c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0" t="str">
        <x:f>IF(F36="","",LEN(F36))</x:f>
      </x:c>
      <x:c r="I36" s="30" t="str">
        <x:f>IF(TRIM(F36)="","",LEN(TRIM(F36))-LEN(SUBSTITUTE(TRIM(F36)," ",""))+1)</x:f>
      </x:c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0" t="str">
        <x:f>IF(F37="","",LEN(F37))</x:f>
      </x:c>
      <x:c r="I37" s="30" t="str">
        <x:f>IF(TRIM(F37)="","",LEN(TRIM(F37))-LEN(SUBSTITUTE(TRIM(F37)," ",""))+1)</x:f>
      </x:c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0" t="str">
        <x:f>IF(F38="","",LEN(F38))</x:f>
      </x:c>
      <x:c r="I38" s="30" t="str">
        <x:f>IF(TRIM(F38)="","",LEN(TRIM(F38))-LEN(SUBSTITUTE(TRIM(F38)," ",""))+1)</x:f>
      </x:c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0" t="str">
        <x:f>IF(F39="","",LEN(F39))</x:f>
      </x:c>
      <x:c r="I39" s="30" t="str">
        <x:f>IF(TRIM(F39)="","",LEN(TRIM(F39))-LEN(SUBSTITUTE(TRIM(F39)," ",""))+1)</x:f>
      </x:c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0" t="str">
        <x:f>IF(F40="","",LEN(F40))</x:f>
      </x:c>
      <x:c r="I40" s="30" t="str">
        <x:f>IF(TRIM(F40)="","",LEN(TRIM(F40))-LEN(SUBSTITUTE(TRIM(F40)," ",""))+1)</x:f>
      </x:c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0" t="str">
        <x:f>IF(F41="","",LEN(F41))</x:f>
      </x:c>
      <x:c r="I41" s="30" t="str">
        <x:f>IF(TRIM(F41)="","",LEN(TRIM(F41))-LEN(SUBSTITUTE(TRIM(F41)," ",""))+1)</x:f>
      </x:c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0" t="str">
        <x:f>IF(F42="","",LEN(F42))</x:f>
      </x:c>
      <x:c r="I42" s="30" t="str">
        <x:f>IF(TRIM(F42)="","",LEN(TRIM(F42))-LEN(SUBSTITUTE(TRIM(F42)," ",""))+1)</x:f>
      </x:c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0" t="str">
        <x:f>IF(F43="","",LEN(F43))</x:f>
      </x:c>
      <x:c r="I43" s="30" t="str">
        <x:f>IF(TRIM(F43)="","",LEN(TRIM(F43))-LEN(SUBSTITUTE(TRIM(F43)," ",""))+1)</x:f>
      </x:c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0" t="str">
        <x:f>IF(F44="","",LEN(F44))</x:f>
      </x:c>
      <x:c r="I44" s="30" t="str">
        <x:f>IF(TRIM(F44)="","",LEN(TRIM(F44))-LEN(SUBSTITUTE(TRIM(F44)," ",""))+1)</x:f>
      </x:c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0" t="str">
        <x:f>IF(F45="","",LEN(F45))</x:f>
      </x:c>
      <x:c r="I45" s="30" t="str">
        <x:f>IF(TRIM(F45)="","",LEN(TRIM(F45))-LEN(SUBSTITUTE(TRIM(F45)," ",""))+1)</x:f>
      </x:c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0" t="str">
        <x:f>IF(F46="","",LEN(F46))</x:f>
      </x:c>
      <x:c r="I46" s="30" t="str">
        <x:f>IF(TRIM(F46)="","",LEN(TRIM(F46))-LEN(SUBSTITUTE(TRIM(F46)," ",""))+1)</x:f>
      </x:c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0" t="str">
        <x:f>IF(F47="","",LEN(F47))</x:f>
      </x:c>
      <x:c r="I47" s="30" t="str">
        <x:f>IF(TRIM(F47)="","",LEN(TRIM(F47))-LEN(SUBSTITUTE(TRIM(F47)," ",""))+1)</x:f>
      </x:c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0" t="str">
        <x:f>IF(F48="","",LEN(F48))</x:f>
      </x:c>
      <x:c r="I48" s="30" t="str">
        <x:f>IF(TRIM(F48)="","",LEN(TRIM(F48))-LEN(SUBSTITUTE(TRIM(F48)," ",""))+1)</x:f>
      </x:c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0" t="str">
        <x:f>IF(F49="","",LEN(F49))</x:f>
      </x:c>
      <x:c r="I49" s="30" t="str">
        <x:f>IF(TRIM(F49)="","",LEN(TRIM(F49))-LEN(SUBSTITUTE(TRIM(F49)," ",""))+1)</x:f>
      </x:c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0" t="str">
        <x:f>IF(F50="","",LEN(F50))</x:f>
      </x:c>
      <x:c r="I50" s="30" t="str">
        <x:f>IF(TRIM(F50)="","",LEN(TRIM(F50))-LEN(SUBSTITUTE(TRIM(F50)," ",""))+1)</x:f>
      </x:c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0" t="str">
        <x:f>IF(F51="","",LEN(F51))</x:f>
      </x:c>
      <x:c r="I51" s="30" t="str">
        <x:f>IF(TRIM(F51)="","",LEN(TRIM(F51))-LEN(SUBSTITUTE(TRIM(F51)," ",""))+1)</x:f>
      </x:c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0" t="str">
        <x:f>IF(F52="","",LEN(F52))</x:f>
      </x:c>
      <x:c r="I52" s="30" t="str">
        <x:f>IF(TRIM(F52)="","",LEN(TRIM(F52))-LEN(SUBSTITUTE(TRIM(F52)," ",""))+1)</x:f>
      </x:c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0" t="str">
        <x:f>IF(F53="","",LEN(F53))</x:f>
      </x:c>
      <x:c r="I53" s="30" t="str">
        <x:f>IF(TRIM(F53)="","",LEN(TRIM(F53))-LEN(SUBSTITUTE(TRIM(F53)," ",""))+1)</x:f>
      </x:c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0" t="str">
        <x:f>IF(F54="","",LEN(F54))</x:f>
      </x:c>
      <x:c r="I54" s="30" t="str">
        <x:f>IF(TRIM(F54)="","",LEN(TRIM(F54))-LEN(SUBSTITUTE(TRIM(F54)," ",""))+1)</x:f>
      </x:c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0" t="str">
        <x:f>IF(F55="","",LEN(F55))</x:f>
      </x:c>
      <x:c r="I55" s="30" t="str">
        <x:f>IF(TRIM(F55)="","",LEN(TRIM(F55))-LEN(SUBSTITUTE(TRIM(F55)," ",""))+1)</x:f>
      </x:c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0" t="str">
        <x:f>IF(F56="","",LEN(F56))</x:f>
      </x:c>
      <x:c r="I56" s="30" t="str">
        <x:f>IF(TRIM(F56)="","",LEN(TRIM(F56))-LEN(SUBSTITUTE(TRIM(F56)," ",""))+1)</x:f>
      </x:c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0" t="str">
        <x:f>IF(F57="","",LEN(F57))</x:f>
      </x:c>
      <x:c r="I57" s="30" t="str">
        <x:f>IF(TRIM(F57)="","",LEN(TRIM(F57))-LEN(SUBSTITUTE(TRIM(F57)," ",""))+1)</x:f>
      </x:c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0" t="str">
        <x:f>IF(F58="","",LEN(F58))</x:f>
      </x:c>
      <x:c r="I58" s="30" t="str">
        <x:f>IF(TRIM(F58)="","",LEN(TRIM(F58))-LEN(SUBSTITUTE(TRIM(F58)," ",""))+1)</x:f>
      </x:c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0" t="str">
        <x:f>IF(F59="","",LEN(F59))</x:f>
      </x:c>
      <x:c r="I59" s="30" t="str">
        <x:f>IF(TRIM(F59)="","",LEN(TRIM(F59))-LEN(SUBSTITUTE(TRIM(F59)," ",""))+1)</x:f>
      </x:c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0" t="str">
        <x:f>IF(F60="","",LEN(F60))</x:f>
      </x:c>
      <x:c r="I60" s="30" t="str">
        <x:f>IF(TRIM(F60)="","",LEN(TRIM(F60))-LEN(SUBSTITUTE(TRIM(F60)," ",""))+1)</x:f>
      </x:c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0" t="str">
        <x:f>IF(F61="","",LEN(F61))</x:f>
      </x:c>
      <x:c r="I61" s="30" t="str">
        <x:f>IF(TRIM(F61)="","",LEN(TRIM(F61))-LEN(SUBSTITUTE(TRIM(F61)," ",""))+1)</x:f>
      </x:c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0" t="str">
        <x:f>IF(F62="","",LEN(F62))</x:f>
      </x:c>
      <x:c r="I62" s="30" t="str">
        <x:f>IF(TRIM(F62)="","",LEN(TRIM(F62))-LEN(SUBSTITUTE(TRIM(F62)," ",""))+1)</x:f>
      </x:c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0" t="str">
        <x:f>IF(F63="","",LEN(F63))</x:f>
      </x:c>
      <x:c r="I63" s="30" t="str">
        <x:f>IF(TRIM(F63)="","",LEN(TRIM(F63))-LEN(SUBSTITUTE(TRIM(F63)," ",""))+1)</x:f>
      </x:c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0" t="str">
        <x:f>IF(F64="","",LEN(F64))</x:f>
      </x:c>
      <x:c r="I64" s="30" t="str">
        <x:f>IF(TRIM(F64)="","",LEN(TRIM(F64))-LEN(SUBSTITUTE(TRIM(F64)," ",""))+1)</x:f>
      </x:c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0" t="str">
        <x:f>IF(F65="","",LEN(F65))</x:f>
      </x:c>
      <x:c r="I65" s="30" t="str">
        <x:f>IF(TRIM(F65)="","",LEN(TRIM(F65))-LEN(SUBSTITUTE(TRIM(F65)," ",""))+1)</x:f>
      </x:c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0" t="str">
        <x:f>IF(F66="","",LEN(F66))</x:f>
      </x:c>
      <x:c r="I66" s="30" t="str">
        <x:f>IF(TRIM(F66)="","",LEN(TRIM(F66))-LEN(SUBSTITUTE(TRIM(F66)," ",""))+1)</x:f>
      </x:c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0" t="str">
        <x:f>IF(F67="","",LEN(F67))</x:f>
      </x:c>
      <x:c r="I67" s="30" t="str">
        <x:f>IF(TRIM(F67)="","",LEN(TRIM(F67))-LEN(SUBSTITUTE(TRIM(F67)," ",""))+1)</x:f>
      </x:c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0" t="str">
        <x:f>IF(F68="","",LEN(F68))</x:f>
      </x:c>
      <x:c r="I68" s="30" t="str">
        <x:f>IF(TRIM(F68)="","",LEN(TRIM(F68))-LEN(SUBSTITUTE(TRIM(F68)," ",""))+1)</x:f>
      </x:c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0" t="str">
        <x:f>IF(F69="","",LEN(F69))</x:f>
      </x:c>
      <x:c r="I69" s="30" t="str">
        <x:f>IF(TRIM(F69)="","",LEN(TRIM(F69))-LEN(SUBSTITUTE(TRIM(F69)," ",""))+1)</x:f>
      </x:c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0" t="str">
        <x:f>IF(F70="","",LEN(F70))</x:f>
      </x:c>
      <x:c r="I70" s="30" t="str">
        <x:f>IF(TRIM(F70)="","",LEN(TRIM(F70))-LEN(SUBSTITUTE(TRIM(F70)," ",""))+1)</x:f>
      </x:c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0" t="str">
        <x:f>IF(F71="","",LEN(F71))</x:f>
      </x:c>
      <x:c r="I71" s="30" t="str">
        <x:f>IF(TRIM(F71)="","",LEN(TRIM(F71))-LEN(SUBSTITUTE(TRIM(F71)," ",""))+1)</x:f>
      </x:c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0" t="str">
        <x:f>IF(F72="","",LEN(F72))</x:f>
      </x:c>
      <x:c r="I72" s="30" t="str">
        <x:f>IF(TRIM(F72)="","",LEN(TRIM(F72))-LEN(SUBSTITUTE(TRIM(F72)," ",""))+1)</x:f>
      </x:c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0" t="str">
        <x:f>IF(F73="","",LEN(F73))</x:f>
      </x:c>
      <x:c r="I73" s="30" t="str">
        <x:f>IF(TRIM(F73)="","",LEN(TRIM(F73))-LEN(SUBSTITUTE(TRIM(F73)," ",""))+1)</x:f>
      </x:c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0" t="str">
        <x:f>IF(F74="","",LEN(F74))</x:f>
      </x:c>
      <x:c r="I74" s="30" t="str">
        <x:f>IF(TRIM(F74)="","",LEN(TRIM(F74))-LEN(SUBSTITUTE(TRIM(F74)," ",""))+1)</x:f>
      </x:c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0" t="str">
        <x:f>IF(F75="","",LEN(F75))</x:f>
      </x:c>
      <x:c r="I75" s="30" t="str">
        <x:f>IF(TRIM(F75)="","",LEN(TRIM(F75))-LEN(SUBSTITUTE(TRIM(F75)," ",""))+1)</x:f>
      </x:c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0" t="str">
        <x:f>IF(F76="","",LEN(F76))</x:f>
      </x:c>
      <x:c r="I76" s="30" t="str">
        <x:f>IF(TRIM(F76)="","",LEN(TRIM(F76))-LEN(SUBSTITUTE(TRIM(F76)," ",""))+1)</x:f>
      </x:c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0" t="str">
        <x:f>IF(F77="","",LEN(F77))</x:f>
      </x:c>
      <x:c r="I77" s="30" t="str">
        <x:f>IF(TRIM(F77)="","",LEN(TRIM(F77))-LEN(SUBSTITUTE(TRIM(F77)," ",""))+1)</x:f>
      </x:c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0" t="str">
        <x:f>IF(F78="","",LEN(F78))</x:f>
      </x:c>
      <x:c r="I78" s="30" t="str">
        <x:f>IF(TRIM(F78)="","",LEN(TRIM(F78))-LEN(SUBSTITUTE(TRIM(F78)," ",""))+1)</x:f>
      </x:c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0" t="str">
        <x:f>IF(F79="","",LEN(F79))</x:f>
      </x:c>
      <x:c r="I79" s="30" t="str">
        <x:f>IF(TRIM(F79)="","",LEN(TRIM(F79))-LEN(SUBSTITUTE(TRIM(F79)," ",""))+1)</x:f>
      </x:c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0" t="str">
        <x:f>IF(F80="","",LEN(F80))</x:f>
      </x:c>
      <x:c r="I80" s="30" t="str">
        <x:f>IF(TRIM(F80)="","",LEN(TRIM(F80))-LEN(SUBSTITUTE(TRIM(F80)," ",""))+1)</x:f>
      </x:c>
      <x:c r="J80" s="30"/>
      <x:c r="K80" s="30"/>
    </x:row>
  </x:sheetData>
  <x:mergeCells>
    <x:mergeCell ref="A1:H2"/>
    <x:mergeCell ref="A3:H3"/>
  </x:mergeCells>
  <x:conditionalFormatting sqref="J7:J80">
    <x:cfRule type="expression" dxfId="88" priority="1">
      <x:formula>J7="ACEITO"</x:formula>
    </x:cfRule>
    <x:cfRule type="expression" dxfId="89" priority="2">
      <x:formula>J7="PUBLICADO"</x:formula>
    </x:cfRule>
    <x:cfRule type="expression" dxfId="90" priority="3">
      <x:formula>J7="EM PRODUÇÃO"</x:formula>
    </x:cfRule>
    <x:cfRule type="expression" dxfId="91" priority="4">
      <x:formula>J7="ARGUMENTAÇÃO"</x:formula>
    </x:cfRule>
    <x:cfRule type="expression" dxfId="92" priority="5">
      <x:formula>J7="PESQUISA"</x:formula>
    </x:cfRule>
    <x:cfRule type="expression" dxfId="93" priority="6">
      <x:formula>J7="EM REVISÃO"</x:formula>
    </x:cfRule>
    <x:cfRule type="expression" dxfId="94" priority="7">
      <x:formula>J7="EM RISCO"</x:formula>
    </x:cfRule>
    <x:cfRule type="expression" dxfId="95" priority="8">
      <x:formula>J7="BLOQUEADO"</x:formula>
    </x:cfRule>
    <x:cfRule type="expression" dxfId="96" priority="9">
      <x:formula>J7="RASCUNHO"</x:formula>
    </x:cfRule>
    <x:cfRule type="expression" dxfId="97" priority="10">
      <x:formula>J7="PLANEJADO"</x:formula>
    </x:cfRule>
    <x:cfRule type="expression" dxfId="98" priority="11">
      <x:formula>J7="TRIAGEM"</x:formula>
    </x:cfRule>
  </x:conditionalFormatting>
  <x:dataValidations count="3">
    <x:dataValidation type="list" sqref="C7:C80">
      <x:formula1>'19_CONFIG_LISTAS'!$E$7:$E$14</x:formula1>
    </x:dataValidation>
    <x:dataValidation type="list" sqref="D7:D80">
      <x:formula1>'19_CONFIG_LISTAS'!$F$7:$F$19</x:formula1>
    </x:dataValidation>
    <x:dataValidation type="list" sqref="J7:J80">
      <x:formula1>'19_CONFIG_LISTAS'!$A$7:$A$23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42" hidden="0" customWidth="1"/>
    <x:col min="5" max="5" width="52" hidden="0" customWidth="1"/>
    <x:col min="6" max="6" width="62" hidden="0" customWidth="1"/>
    <x:col min="7" max="7" width="54" hidden="0" customWidth="1"/>
    <x:col min="8" max="8" width="42" hidden="0" customWidth="1"/>
    <x:col min="9" max="9" width="18" hidden="0" customWidth="1"/>
    <x:col min="10" max="10" width="14" hidden="0" customWidth="1"/>
    <x:col min="11" max="11" width="14" hidden="0" customWidth="1"/>
    <x:col min="12" max="12" width="44" hidden="0" customWidth="1"/>
  </x:cols>
  <x:sheetData>
    <x:row r="1">
      <x:c r="A1" s="4" t="str">
        <x:v>NEWSLETTER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Investigação → por que importa → descoberta → aprofundamento → próxima questão.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Asset_ID</x:v>
      </x:c>
      <x:c r="B6" s="23" t="str">
        <x:v>Content_ID</x:v>
      </x:c>
      <x:c r="C6" s="23" t="str">
        <x:v>Assunto</x:v>
      </x:c>
      <x:c r="D6" s="23" t="str">
        <x:v>Preheader</x:v>
      </x:c>
      <x:c r="E6" s="23" t="str">
        <x:v>Abertura</x:v>
      </x:c>
      <x:c r="F6" s="23" t="str">
        <x:v>Corpo / descoberta</x:v>
      </x:c>
      <x:c r="G6" s="23" t="str">
        <x:v>Leitura aprofundada</x:v>
      </x:c>
      <x:c r="H6" s="23" t="str">
        <x:v>Próxima questão / CTA</x:v>
      </x:c>
      <x:c r="I6" s="23" t="str">
        <x:v>Status</x:v>
      </x:c>
      <x:c r="J6" s="23" t="str">
        <x:v>Chars</x:v>
      </x:c>
      <x:c r="K6" s="23" t="str">
        <x:v>Palavras</x:v>
      </x:c>
      <x:c r="L6" s="23" t="str">
        <x:v>Link</x:v>
      </x:c>
    </x:row>
    <x:row r="7">
      <x:c r="A7" s="30" t="str"/>
      <x:c r="B7" s="30" t="str"/>
      <x:c r="C7" s="30" t="str"/>
      <x:c r="D7" s="30" t="str"/>
      <x:c r="E7" s="30" t="str"/>
      <x:c r="F7" s="30" t="str"/>
      <x:c r="G7" s="30" t="str"/>
      <x:c r="H7" s="30" t="str"/>
      <x:c r="I7" s="30" t="str">
        <x:v>PLANEJADO</x:v>
      </x:c>
      <x:c r="J7" s="30" t="str">
        <x:f>IF(F7="","",LEN(C7&amp;D7&amp;E7&amp;F7&amp;G7&amp;H7))</x:f>
      </x:c>
      <x:c r="K7" s="30" t="str">
        <x:f>IF(TRIM(C7&amp;" "&amp;D7&amp;" "&amp;E7&amp;" "&amp;F7&amp;" "&amp;G7&amp;" "&amp;H7)="","",LEN(TRIM(C7&amp;" "&amp;D7&amp;" "&amp;E7&amp;" "&amp;F7&amp;" "&amp;G7&amp;" "&amp;H7))-LEN(SUBSTITUTE(TRIM(C7&amp;" "&amp;D7&amp;" "&amp;E7&amp;" "&amp;F7&amp;" "&amp;G7&amp;" "&amp;H7)," ",""))+1)</x:f>
      </x:c>
      <x:c r="L7" s="30" t="str"/>
    </x:row>
    <x:row r="8">
      <x:c r="A8" s="30"/>
      <x:c r="B8" s="30"/>
      <x:c r="C8" s="30"/>
      <x:c r="D8" s="30"/>
      <x:c r="E8" s="30"/>
      <x:c r="F8" s="30"/>
      <x:c r="G8" s="30"/>
      <x:c r="H8" s="30"/>
      <x:c r="I8" s="30"/>
      <x:c r="J8" s="30" t="str">
        <x:f>IF(F8="","",LEN(C8&amp;D8&amp;E8&amp;F8&amp;G8&amp;H8))</x:f>
      </x:c>
      <x:c r="K8" s="30" t="str">
        <x:f>IF(TRIM(C8&amp;" "&amp;D8&amp;" "&amp;E8&amp;" "&amp;F8&amp;" "&amp;G8&amp;" "&amp;H8)="","",LEN(TRIM(C8&amp;" "&amp;D8&amp;" "&amp;E8&amp;" "&amp;F8&amp;" "&amp;G8&amp;" "&amp;H8))-LEN(SUBSTITUTE(TRIM(C8&amp;" "&amp;D8&amp;" "&amp;E8&amp;" "&amp;F8&amp;" "&amp;G8&amp;" "&amp;H8)," ",""))+1)</x:f>
      </x:c>
      <x:c r="L8" s="30"/>
    </x:row>
    <x:row r="9">
      <x:c r="A9" s="30"/>
      <x:c r="B9" s="30"/>
      <x:c r="C9" s="30"/>
      <x:c r="D9" s="30"/>
      <x:c r="E9" s="30"/>
      <x:c r="F9" s="30"/>
      <x:c r="G9" s="30"/>
      <x:c r="H9" s="30"/>
      <x:c r="I9" s="30"/>
      <x:c r="J9" s="30" t="str">
        <x:f>IF(F9="","",LEN(C9&amp;D9&amp;E9&amp;F9&amp;G9&amp;H9))</x:f>
      </x:c>
      <x:c r="K9" s="30" t="str">
        <x:f>IF(TRIM(C9&amp;" "&amp;D9&amp;" "&amp;E9&amp;" "&amp;F9&amp;" "&amp;G9&amp;" "&amp;H9)="","",LEN(TRIM(C9&amp;" "&amp;D9&amp;" "&amp;E9&amp;" "&amp;F9&amp;" "&amp;G9&amp;" "&amp;H9))-LEN(SUBSTITUTE(TRIM(C9&amp;" "&amp;D9&amp;" "&amp;E9&amp;" "&amp;F9&amp;" "&amp;G9&amp;" "&amp;H9)," ",""))+1)</x:f>
      </x:c>
      <x:c r="L9" s="30"/>
    </x:row>
    <x:row r="10">
      <x:c r="A10" s="30"/>
      <x:c r="B10" s="30"/>
      <x:c r="C10" s="30"/>
      <x:c r="D10" s="30"/>
      <x:c r="E10" s="30"/>
      <x:c r="F10" s="30"/>
      <x:c r="G10" s="30"/>
      <x:c r="H10" s="30"/>
      <x:c r="I10" s="30"/>
      <x:c r="J10" s="30" t="str">
        <x:f>IF(F10="","",LEN(C10&amp;D10&amp;E10&amp;F10&amp;G10&amp;H10))</x:f>
      </x:c>
      <x:c r="K10" s="30" t="str">
        <x:f>IF(TRIM(C10&amp;" "&amp;D10&amp;" "&amp;E10&amp;" "&amp;F10&amp;" "&amp;G10&amp;" "&amp;H10)="","",LEN(TRIM(C10&amp;" "&amp;D10&amp;" "&amp;E10&amp;" "&amp;F10&amp;" "&amp;G10&amp;" "&amp;H10))-LEN(SUBSTITUTE(TRIM(C10&amp;" "&amp;D10&amp;" "&amp;E10&amp;" "&amp;F10&amp;" "&amp;G10&amp;" "&amp;H10)," ",""))+1)</x:f>
      </x:c>
      <x:c r="L10" s="30"/>
    </x:row>
    <x:row r="11">
      <x:c r="A11" s="30"/>
      <x:c r="B11" s="30"/>
      <x:c r="C11" s="30"/>
      <x:c r="D11" s="30"/>
      <x:c r="E11" s="30"/>
      <x:c r="F11" s="30"/>
      <x:c r="G11" s="30"/>
      <x:c r="H11" s="30"/>
      <x:c r="I11" s="30"/>
      <x:c r="J11" s="30" t="str">
        <x:f>IF(F11="","",LEN(C11&amp;D11&amp;E11&amp;F11&amp;G11&amp;H11))</x:f>
      </x:c>
      <x:c r="K11" s="30" t="str">
        <x:f>IF(TRIM(C11&amp;" "&amp;D11&amp;" "&amp;E11&amp;" "&amp;F11&amp;" "&amp;G11&amp;" "&amp;H11)="","",LEN(TRIM(C11&amp;" "&amp;D11&amp;" "&amp;E11&amp;" "&amp;F11&amp;" "&amp;G11&amp;" "&amp;H11))-LEN(SUBSTITUTE(TRIM(C11&amp;" "&amp;D11&amp;" "&amp;E11&amp;" "&amp;F11&amp;" "&amp;G11&amp;" "&amp;H11)," ",""))+1)</x:f>
      </x:c>
      <x:c r="L11" s="30"/>
    </x:row>
    <x:row r="12">
      <x:c r="A12" s="30"/>
      <x:c r="B12" s="30"/>
      <x:c r="C12" s="30"/>
      <x:c r="D12" s="30"/>
      <x:c r="E12" s="30"/>
      <x:c r="F12" s="30"/>
      <x:c r="G12" s="30"/>
      <x:c r="H12" s="30"/>
      <x:c r="I12" s="30"/>
      <x:c r="J12" s="30" t="str">
        <x:f>IF(F12="","",LEN(C12&amp;D12&amp;E12&amp;F12&amp;G12&amp;H12))</x:f>
      </x:c>
      <x:c r="K12" s="30" t="str">
        <x:f>IF(TRIM(C12&amp;" "&amp;D12&amp;" "&amp;E12&amp;" "&amp;F12&amp;" "&amp;G12&amp;" "&amp;H12)="","",LEN(TRIM(C12&amp;" "&amp;D12&amp;" "&amp;E12&amp;" "&amp;F12&amp;" "&amp;G12&amp;" "&amp;H12))-LEN(SUBSTITUTE(TRIM(C12&amp;" "&amp;D12&amp;" "&amp;E12&amp;" "&amp;F12&amp;" "&amp;G12&amp;" "&amp;H12)," ",""))+1)</x:f>
      </x:c>
      <x:c r="L12" s="30"/>
    </x:row>
    <x:row r="13">
      <x:c r="A13" s="30"/>
      <x:c r="B13" s="30"/>
      <x:c r="C13" s="30"/>
      <x:c r="D13" s="30"/>
      <x:c r="E13" s="30"/>
      <x:c r="F13" s="30"/>
      <x:c r="G13" s="30"/>
      <x:c r="H13" s="30"/>
      <x:c r="I13" s="30"/>
      <x:c r="J13" s="30" t="str">
        <x:f>IF(F13="","",LEN(C13&amp;D13&amp;E13&amp;F13&amp;G13&amp;H13))</x:f>
      </x:c>
      <x:c r="K13" s="30" t="str">
        <x:f>IF(TRIM(C13&amp;" "&amp;D13&amp;" "&amp;E13&amp;" "&amp;F13&amp;" "&amp;G13&amp;" "&amp;H13)="","",LEN(TRIM(C13&amp;" "&amp;D13&amp;" "&amp;E13&amp;" "&amp;F13&amp;" "&amp;G13&amp;" "&amp;H13))-LEN(SUBSTITUTE(TRIM(C13&amp;" "&amp;D13&amp;" "&amp;E13&amp;" "&amp;F13&amp;" "&amp;G13&amp;" "&amp;H13)," ",""))+1)</x:f>
      </x:c>
      <x:c r="L13" s="30"/>
    </x:row>
    <x:row r="14">
      <x:c r="A14" s="30"/>
      <x:c r="B14" s="30"/>
      <x:c r="C14" s="30"/>
      <x:c r="D14" s="30"/>
      <x:c r="E14" s="30"/>
      <x:c r="F14" s="30"/>
      <x:c r="G14" s="30"/>
      <x:c r="H14" s="30"/>
      <x:c r="I14" s="30"/>
      <x:c r="J14" s="30" t="str">
        <x:f>IF(F14="","",LEN(C14&amp;D14&amp;E14&amp;F14&amp;G14&amp;H14))</x:f>
      </x:c>
      <x:c r="K14" s="30" t="str">
        <x:f>IF(TRIM(C14&amp;" "&amp;D14&amp;" "&amp;E14&amp;" "&amp;F14&amp;" "&amp;G14&amp;" "&amp;H14)="","",LEN(TRIM(C14&amp;" "&amp;D14&amp;" "&amp;E14&amp;" "&amp;F14&amp;" "&amp;G14&amp;" "&amp;H14))-LEN(SUBSTITUTE(TRIM(C14&amp;" "&amp;D14&amp;" "&amp;E14&amp;" "&amp;F14&amp;" "&amp;G14&amp;" "&amp;H14)," ",""))+1)</x:f>
      </x:c>
      <x:c r="L14" s="30"/>
    </x:row>
    <x:row r="15">
      <x:c r="A15" s="30"/>
      <x:c r="B15" s="30"/>
      <x:c r="C15" s="30"/>
      <x:c r="D15" s="30"/>
      <x:c r="E15" s="30"/>
      <x:c r="F15" s="30"/>
      <x:c r="G15" s="30"/>
      <x:c r="H15" s="30"/>
      <x:c r="I15" s="30"/>
      <x:c r="J15" s="30" t="str">
        <x:f>IF(F15="","",LEN(C15&amp;D15&amp;E15&amp;F15&amp;G15&amp;H15))</x:f>
      </x:c>
      <x:c r="K15" s="30" t="str">
        <x:f>IF(TRIM(C15&amp;" "&amp;D15&amp;" "&amp;E15&amp;" "&amp;F15&amp;" "&amp;G15&amp;" "&amp;H15)="","",LEN(TRIM(C15&amp;" "&amp;D15&amp;" "&amp;E15&amp;" "&amp;F15&amp;" "&amp;G15&amp;" "&amp;H15))-LEN(SUBSTITUTE(TRIM(C15&amp;" "&amp;D15&amp;" "&amp;E15&amp;" "&amp;F15&amp;" "&amp;G15&amp;" "&amp;H15)," ",""))+1)</x:f>
      </x:c>
      <x:c r="L15" s="30"/>
    </x:row>
    <x:row r="16">
      <x:c r="A16" s="30"/>
      <x:c r="B16" s="30"/>
      <x:c r="C16" s="30"/>
      <x:c r="D16" s="30"/>
      <x:c r="E16" s="30"/>
      <x:c r="F16" s="30"/>
      <x:c r="G16" s="30"/>
      <x:c r="H16" s="30"/>
      <x:c r="I16" s="30"/>
      <x:c r="J16" s="30" t="str">
        <x:f>IF(F16="","",LEN(C16&amp;D16&amp;E16&amp;F16&amp;G16&amp;H16))</x:f>
      </x:c>
      <x:c r="K16" s="30" t="str">
        <x:f>IF(TRIM(C16&amp;" "&amp;D16&amp;" "&amp;E16&amp;" "&amp;F16&amp;" "&amp;G16&amp;" "&amp;H16)="","",LEN(TRIM(C16&amp;" "&amp;D16&amp;" "&amp;E16&amp;" "&amp;F16&amp;" "&amp;G16&amp;" "&amp;H16))-LEN(SUBSTITUTE(TRIM(C16&amp;" "&amp;D16&amp;" "&amp;E16&amp;" "&amp;F16&amp;" "&amp;G16&amp;" "&amp;H16)," ",""))+1)</x:f>
      </x:c>
      <x:c r="L16" s="30"/>
    </x:row>
    <x:row r="17">
      <x:c r="A17" s="30"/>
      <x:c r="B17" s="30"/>
      <x:c r="C17" s="30"/>
      <x:c r="D17" s="30"/>
      <x:c r="E17" s="30"/>
      <x:c r="F17" s="30"/>
      <x:c r="G17" s="30"/>
      <x:c r="H17" s="30"/>
      <x:c r="I17" s="30"/>
      <x:c r="J17" s="30" t="str">
        <x:f>IF(F17="","",LEN(C17&amp;D17&amp;E17&amp;F17&amp;G17&amp;H17))</x:f>
      </x:c>
      <x:c r="K17" s="30" t="str">
        <x:f>IF(TRIM(C17&amp;" "&amp;D17&amp;" "&amp;E17&amp;" "&amp;F17&amp;" "&amp;G17&amp;" "&amp;H17)="","",LEN(TRIM(C17&amp;" "&amp;D17&amp;" "&amp;E17&amp;" "&amp;F17&amp;" "&amp;G17&amp;" "&amp;H17))-LEN(SUBSTITUTE(TRIM(C17&amp;" "&amp;D17&amp;" "&amp;E17&amp;" "&amp;F17&amp;" "&amp;G17&amp;" "&amp;H17)," ",""))+1)</x:f>
      </x:c>
      <x:c r="L17" s="30"/>
    </x:row>
    <x:row r="18">
      <x:c r="A18" s="30"/>
      <x:c r="B18" s="30"/>
      <x:c r="C18" s="30"/>
      <x:c r="D18" s="30"/>
      <x:c r="E18" s="30"/>
      <x:c r="F18" s="30"/>
      <x:c r="G18" s="30"/>
      <x:c r="H18" s="30"/>
      <x:c r="I18" s="30"/>
      <x:c r="J18" s="30" t="str">
        <x:f>IF(F18="","",LEN(C18&amp;D18&amp;E18&amp;F18&amp;G18&amp;H18))</x:f>
      </x:c>
      <x:c r="K18" s="30" t="str">
        <x:f>IF(TRIM(C18&amp;" "&amp;D18&amp;" "&amp;E18&amp;" "&amp;F18&amp;" "&amp;G18&amp;" "&amp;H18)="","",LEN(TRIM(C18&amp;" "&amp;D18&amp;" "&amp;E18&amp;" "&amp;F18&amp;" "&amp;G18&amp;" "&amp;H18))-LEN(SUBSTITUTE(TRIM(C18&amp;" "&amp;D18&amp;" "&amp;E18&amp;" "&amp;F18&amp;" "&amp;G18&amp;" "&amp;H18)," ",""))+1)</x:f>
      </x:c>
      <x:c r="L18" s="30"/>
    </x:row>
    <x:row r="19">
      <x:c r="A19" s="30"/>
      <x:c r="B19" s="30"/>
      <x:c r="C19" s="30"/>
      <x:c r="D19" s="30"/>
      <x:c r="E19" s="30"/>
      <x:c r="F19" s="30"/>
      <x:c r="G19" s="30"/>
      <x:c r="H19" s="30"/>
      <x:c r="I19" s="30"/>
      <x:c r="J19" s="30" t="str">
        <x:f>IF(F19="","",LEN(C19&amp;D19&amp;E19&amp;F19&amp;G19&amp;H19))</x:f>
      </x:c>
      <x:c r="K19" s="30" t="str">
        <x:f>IF(TRIM(C19&amp;" "&amp;D19&amp;" "&amp;E19&amp;" "&amp;F19&amp;" "&amp;G19&amp;" "&amp;H19)="","",LEN(TRIM(C19&amp;" "&amp;D19&amp;" "&amp;E19&amp;" "&amp;F19&amp;" "&amp;G19&amp;" "&amp;H19))-LEN(SUBSTITUTE(TRIM(C19&amp;" "&amp;D19&amp;" "&amp;E19&amp;" "&amp;F19&amp;" "&amp;G19&amp;" "&amp;H19)," ",""))+1)</x:f>
      </x:c>
      <x:c r="L19" s="30"/>
    </x:row>
    <x:row r="20">
      <x:c r="A20" s="30"/>
      <x:c r="B20" s="30"/>
      <x:c r="C20" s="30"/>
      <x:c r="D20" s="30"/>
      <x:c r="E20" s="30"/>
      <x:c r="F20" s="30"/>
      <x:c r="G20" s="30"/>
      <x:c r="H20" s="30"/>
      <x:c r="I20" s="30"/>
      <x:c r="J20" s="30" t="str">
        <x:f>IF(F20="","",LEN(C20&amp;D20&amp;E20&amp;F20&amp;G20&amp;H20))</x:f>
      </x:c>
      <x:c r="K20" s="30" t="str">
        <x:f>IF(TRIM(C20&amp;" "&amp;D20&amp;" "&amp;E20&amp;" "&amp;F20&amp;" "&amp;G20&amp;" "&amp;H20)="","",LEN(TRIM(C20&amp;" "&amp;D20&amp;" "&amp;E20&amp;" "&amp;F20&amp;" "&amp;G20&amp;" "&amp;H20))-LEN(SUBSTITUTE(TRIM(C20&amp;" "&amp;D20&amp;" "&amp;E20&amp;" "&amp;F20&amp;" "&amp;G20&amp;" "&amp;H20)," ",""))+1)</x:f>
      </x:c>
      <x:c r="L20" s="30"/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 t="str">
        <x:f>IF(F21="","",LEN(C21&amp;D21&amp;E21&amp;F21&amp;G21&amp;H21))</x:f>
      </x:c>
      <x:c r="K21" s="30" t="str">
        <x:f>IF(TRIM(C21&amp;" "&amp;D21&amp;" "&amp;E21&amp;" "&amp;F21&amp;" "&amp;G21&amp;" "&amp;H21)="","",LEN(TRIM(C21&amp;" "&amp;D21&amp;" "&amp;E21&amp;" "&amp;F21&amp;" "&amp;G21&amp;" "&amp;H21))-LEN(SUBSTITUTE(TRIM(C21&amp;" "&amp;D21&amp;" "&amp;E21&amp;" "&amp;F21&amp;" "&amp;G21&amp;" "&amp;H21)," ",""))+1)</x:f>
      </x:c>
      <x:c r="L21" s="30"/>
    </x:row>
    <x:row r="22">
      <x:c r="A22" s="30"/>
      <x:c r="B22" s="30"/>
      <x:c r="C22" s="30"/>
      <x:c r="D22" s="30"/>
      <x:c r="E22" s="30"/>
      <x:c r="F22" s="30"/>
      <x:c r="G22" s="30"/>
      <x:c r="H22" s="30"/>
      <x:c r="I22" s="30"/>
      <x:c r="J22" s="30" t="str">
        <x:f>IF(F22="","",LEN(C22&amp;D22&amp;E22&amp;F22&amp;G22&amp;H22))</x:f>
      </x:c>
      <x:c r="K22" s="30" t="str">
        <x:f>IF(TRIM(C22&amp;" "&amp;D22&amp;" "&amp;E22&amp;" "&amp;F22&amp;" "&amp;G22&amp;" "&amp;H22)="","",LEN(TRIM(C22&amp;" "&amp;D22&amp;" "&amp;E22&amp;" "&amp;F22&amp;" "&amp;G22&amp;" "&amp;H22))-LEN(SUBSTITUTE(TRIM(C22&amp;" "&amp;D22&amp;" "&amp;E22&amp;" "&amp;F22&amp;" "&amp;G22&amp;" "&amp;H22)," ",""))+1)</x:f>
      </x:c>
      <x:c r="L22" s="30"/>
    </x:row>
    <x:row r="23">
      <x:c r="A23" s="30"/>
      <x:c r="B23" s="30"/>
      <x:c r="C23" s="30"/>
      <x:c r="D23" s="30"/>
      <x:c r="E23" s="30"/>
      <x:c r="F23" s="30"/>
      <x:c r="G23" s="30"/>
      <x:c r="H23" s="30"/>
      <x:c r="I23" s="30"/>
      <x:c r="J23" s="30" t="str">
        <x:f>IF(F23="","",LEN(C23&amp;D23&amp;E23&amp;F23&amp;G23&amp;H23))</x:f>
      </x:c>
      <x:c r="K23" s="30" t="str">
        <x:f>IF(TRIM(C23&amp;" "&amp;D23&amp;" "&amp;E23&amp;" "&amp;F23&amp;" "&amp;G23&amp;" "&amp;H23)="","",LEN(TRIM(C23&amp;" "&amp;D23&amp;" "&amp;E23&amp;" "&amp;F23&amp;" "&amp;G23&amp;" "&amp;H23))-LEN(SUBSTITUTE(TRIM(C23&amp;" "&amp;D23&amp;" "&amp;E23&amp;" "&amp;F23&amp;" "&amp;G23&amp;" "&amp;H23)," ",""))+1)</x:f>
      </x:c>
      <x:c r="L23" s="30"/>
    </x:row>
    <x:row r="24">
      <x:c r="A24" s="30"/>
      <x:c r="B24" s="30"/>
      <x:c r="C24" s="30"/>
      <x:c r="D24" s="30"/>
      <x:c r="E24" s="30"/>
      <x:c r="F24" s="30"/>
      <x:c r="G24" s="30"/>
      <x:c r="H24" s="30"/>
      <x:c r="I24" s="30"/>
      <x:c r="J24" s="30" t="str">
        <x:f>IF(F24="","",LEN(C24&amp;D24&amp;E24&amp;F24&amp;G24&amp;H24))</x:f>
      </x:c>
      <x:c r="K24" s="30" t="str">
        <x:f>IF(TRIM(C24&amp;" "&amp;D24&amp;" "&amp;E24&amp;" "&amp;F24&amp;" "&amp;G24&amp;" "&amp;H24)="","",LEN(TRIM(C24&amp;" "&amp;D24&amp;" "&amp;E24&amp;" "&amp;F24&amp;" "&amp;G24&amp;" "&amp;H24))-LEN(SUBSTITUTE(TRIM(C24&amp;" "&amp;D24&amp;" "&amp;E24&amp;" "&amp;F24&amp;" "&amp;G24&amp;" "&amp;H24)," ",""))+1)</x:f>
      </x:c>
      <x:c r="L24" s="30"/>
    </x:row>
    <x:row r="25">
      <x:c r="A25" s="30"/>
      <x:c r="B25" s="30"/>
      <x:c r="C25" s="30"/>
      <x:c r="D25" s="30"/>
      <x:c r="E25" s="30"/>
      <x:c r="F25" s="30"/>
      <x:c r="G25" s="30"/>
      <x:c r="H25" s="30"/>
      <x:c r="I25" s="30"/>
      <x:c r="J25" s="30" t="str">
        <x:f>IF(F25="","",LEN(C25&amp;D25&amp;E25&amp;F25&amp;G25&amp;H25))</x:f>
      </x:c>
      <x:c r="K25" s="30" t="str">
        <x:f>IF(TRIM(C25&amp;" "&amp;D25&amp;" "&amp;E25&amp;" "&amp;F25&amp;" "&amp;G25&amp;" "&amp;H25)="","",LEN(TRIM(C25&amp;" "&amp;D25&amp;" "&amp;E25&amp;" "&amp;F25&amp;" "&amp;G25&amp;" "&amp;H25))-LEN(SUBSTITUTE(TRIM(C25&amp;" "&amp;D25&amp;" "&amp;E25&amp;" "&amp;F25&amp;" "&amp;G25&amp;" "&amp;H25)," ",""))+1)</x:f>
      </x:c>
      <x:c r="L25" s="30"/>
    </x:row>
    <x:row r="26">
      <x:c r="A26" s="30"/>
      <x:c r="B26" s="30"/>
      <x:c r="C26" s="30"/>
      <x:c r="D26" s="30"/>
      <x:c r="E26" s="30"/>
      <x:c r="F26" s="30"/>
      <x:c r="G26" s="30"/>
      <x:c r="H26" s="30"/>
      <x:c r="I26" s="30"/>
      <x:c r="J26" s="30" t="str">
        <x:f>IF(F26="","",LEN(C26&amp;D26&amp;E26&amp;F26&amp;G26&amp;H26))</x:f>
      </x:c>
      <x:c r="K26" s="30" t="str">
        <x:f>IF(TRIM(C26&amp;" "&amp;D26&amp;" "&amp;E26&amp;" "&amp;F26&amp;" "&amp;G26&amp;" "&amp;H26)="","",LEN(TRIM(C26&amp;" "&amp;D26&amp;" "&amp;E26&amp;" "&amp;F26&amp;" "&amp;G26&amp;" "&amp;H26))-LEN(SUBSTITUTE(TRIM(C26&amp;" "&amp;D26&amp;" "&amp;E26&amp;" "&amp;F26&amp;" "&amp;G26&amp;" "&amp;H26)," ",""))+1)</x:f>
      </x:c>
      <x:c r="L26" s="30"/>
    </x:row>
    <x:row r="27">
      <x:c r="A27" s="30"/>
      <x:c r="B27" s="30"/>
      <x:c r="C27" s="30"/>
      <x:c r="D27" s="30"/>
      <x:c r="E27" s="30"/>
      <x:c r="F27" s="30"/>
      <x:c r="G27" s="30"/>
      <x:c r="H27" s="30"/>
      <x:c r="I27" s="30"/>
      <x:c r="J27" s="30" t="str">
        <x:f>IF(F27="","",LEN(C27&amp;D27&amp;E27&amp;F27&amp;G27&amp;H27))</x:f>
      </x:c>
      <x:c r="K27" s="30" t="str">
        <x:f>IF(TRIM(C27&amp;" "&amp;D27&amp;" "&amp;E27&amp;" "&amp;F27&amp;" "&amp;G27&amp;" "&amp;H27)="","",LEN(TRIM(C27&amp;" "&amp;D27&amp;" "&amp;E27&amp;" "&amp;F27&amp;" "&amp;G27&amp;" "&amp;H27))-LEN(SUBSTITUTE(TRIM(C27&amp;" "&amp;D27&amp;" "&amp;E27&amp;" "&amp;F27&amp;" "&amp;G27&amp;" "&amp;H27)," ",""))+1)</x:f>
      </x:c>
      <x:c r="L27" s="30"/>
    </x:row>
    <x:row r="28">
      <x:c r="A28" s="30"/>
      <x:c r="B28" s="30"/>
      <x:c r="C28" s="30"/>
      <x:c r="D28" s="30"/>
      <x:c r="E28" s="30"/>
      <x:c r="F28" s="30"/>
      <x:c r="G28" s="30"/>
      <x:c r="H28" s="30"/>
      <x:c r="I28" s="30"/>
      <x:c r="J28" s="30" t="str">
        <x:f>IF(F28="","",LEN(C28&amp;D28&amp;E28&amp;F28&amp;G28&amp;H28))</x:f>
      </x:c>
      <x:c r="K28" s="30" t="str">
        <x:f>IF(TRIM(C28&amp;" "&amp;D28&amp;" "&amp;E28&amp;" "&amp;F28&amp;" "&amp;G28&amp;" "&amp;H28)="","",LEN(TRIM(C28&amp;" "&amp;D28&amp;" "&amp;E28&amp;" "&amp;F28&amp;" "&amp;G28&amp;" "&amp;H28))-LEN(SUBSTITUTE(TRIM(C28&amp;" "&amp;D28&amp;" "&amp;E28&amp;" "&amp;F28&amp;" "&amp;G28&amp;" "&amp;H28)," ",""))+1)</x:f>
      </x:c>
      <x:c r="L28" s="30"/>
    </x:row>
    <x:row r="29">
      <x:c r="A29" s="30"/>
      <x:c r="B29" s="30"/>
      <x:c r="C29" s="30"/>
      <x:c r="D29" s="30"/>
      <x:c r="E29" s="30"/>
      <x:c r="F29" s="30"/>
      <x:c r="G29" s="30"/>
      <x:c r="H29" s="30"/>
      <x:c r="I29" s="30"/>
      <x:c r="J29" s="30" t="str">
        <x:f>IF(F29="","",LEN(C29&amp;D29&amp;E29&amp;F29&amp;G29&amp;H29))</x:f>
      </x:c>
      <x:c r="K29" s="30" t="str">
        <x:f>IF(TRIM(C29&amp;" "&amp;D29&amp;" "&amp;E29&amp;" "&amp;F29&amp;" "&amp;G29&amp;" "&amp;H29)="","",LEN(TRIM(C29&amp;" "&amp;D29&amp;" "&amp;E29&amp;" "&amp;F29&amp;" "&amp;G29&amp;" "&amp;H29))-LEN(SUBSTITUTE(TRIM(C29&amp;" "&amp;D29&amp;" "&amp;E29&amp;" "&amp;F29&amp;" "&amp;G29&amp;" "&amp;H29)," ",""))+1)</x:f>
      </x:c>
      <x:c r="L29" s="30"/>
    </x:row>
    <x:row r="30">
      <x:c r="A30" s="30"/>
      <x:c r="B30" s="30"/>
      <x:c r="C30" s="30"/>
      <x:c r="D30" s="30"/>
      <x:c r="E30" s="30"/>
      <x:c r="F30" s="30"/>
      <x:c r="G30" s="30"/>
      <x:c r="H30" s="30"/>
      <x:c r="I30" s="30"/>
      <x:c r="J30" s="30" t="str">
        <x:f>IF(F30="","",LEN(C30&amp;D30&amp;E30&amp;F30&amp;G30&amp;H30))</x:f>
      </x:c>
      <x:c r="K30" s="30" t="str">
        <x:f>IF(TRIM(C30&amp;" "&amp;D30&amp;" "&amp;E30&amp;" "&amp;F30&amp;" "&amp;G30&amp;" "&amp;H30)="","",LEN(TRIM(C30&amp;" "&amp;D30&amp;" "&amp;E30&amp;" "&amp;F30&amp;" "&amp;G30&amp;" "&amp;H30))-LEN(SUBSTITUTE(TRIM(C30&amp;" "&amp;D30&amp;" "&amp;E30&amp;" "&amp;F30&amp;" "&amp;G30&amp;" "&amp;H30)," ",""))+1)</x:f>
      </x:c>
      <x:c r="L30" s="30"/>
    </x:row>
    <x:row r="31">
      <x:c r="A31" s="30"/>
      <x:c r="B31" s="30"/>
      <x:c r="C31" s="30"/>
      <x:c r="D31" s="30"/>
      <x:c r="E31" s="30"/>
      <x:c r="F31" s="30"/>
      <x:c r="G31" s="30"/>
      <x:c r="H31" s="30"/>
      <x:c r="I31" s="30"/>
      <x:c r="J31" s="30" t="str">
        <x:f>IF(F31="","",LEN(C31&amp;D31&amp;E31&amp;F31&amp;G31&amp;H31))</x:f>
      </x:c>
      <x:c r="K31" s="30" t="str">
        <x:f>IF(TRIM(C31&amp;" "&amp;D31&amp;" "&amp;E31&amp;" "&amp;F31&amp;" "&amp;G31&amp;" "&amp;H31)="","",LEN(TRIM(C31&amp;" "&amp;D31&amp;" "&amp;E31&amp;" "&amp;F31&amp;" "&amp;G31&amp;" "&amp;H31))-LEN(SUBSTITUTE(TRIM(C31&amp;" "&amp;D31&amp;" "&amp;E31&amp;" "&amp;F31&amp;" "&amp;G31&amp;" "&amp;H31)," ",""))+1)</x:f>
      </x:c>
      <x:c r="L31" s="30"/>
    </x:row>
    <x:row r="32">
      <x:c r="A32" s="30"/>
      <x:c r="B32" s="30"/>
      <x:c r="C32" s="30"/>
      <x:c r="D32" s="30"/>
      <x:c r="E32" s="30"/>
      <x:c r="F32" s="30"/>
      <x:c r="G32" s="30"/>
      <x:c r="H32" s="30"/>
      <x:c r="I32" s="30"/>
      <x:c r="J32" s="30" t="str">
        <x:f>IF(F32="","",LEN(C32&amp;D32&amp;E32&amp;F32&amp;G32&amp;H32))</x:f>
      </x:c>
      <x:c r="K32" s="30" t="str">
        <x:f>IF(TRIM(C32&amp;" "&amp;D32&amp;" "&amp;E32&amp;" "&amp;F32&amp;" "&amp;G32&amp;" "&amp;H32)="","",LEN(TRIM(C32&amp;" "&amp;D32&amp;" "&amp;E32&amp;" "&amp;F32&amp;" "&amp;G32&amp;" "&amp;H32))-LEN(SUBSTITUTE(TRIM(C32&amp;" "&amp;D32&amp;" "&amp;E32&amp;" "&amp;F32&amp;" "&amp;G32&amp;" "&amp;H32)," ",""))+1)</x:f>
      </x:c>
      <x:c r="L32" s="30"/>
    </x:row>
    <x:row r="33">
      <x:c r="A33" s="30"/>
      <x:c r="B33" s="30"/>
      <x:c r="C33" s="30"/>
      <x:c r="D33" s="30"/>
      <x:c r="E33" s="30"/>
      <x:c r="F33" s="30"/>
      <x:c r="G33" s="30"/>
      <x:c r="H33" s="30"/>
      <x:c r="I33" s="30"/>
      <x:c r="J33" s="30" t="str">
        <x:f>IF(F33="","",LEN(C33&amp;D33&amp;E33&amp;F33&amp;G33&amp;H33))</x:f>
      </x:c>
      <x:c r="K33" s="30" t="str">
        <x:f>IF(TRIM(C33&amp;" "&amp;D33&amp;" "&amp;E33&amp;" "&amp;F33&amp;" "&amp;G33&amp;" "&amp;H33)="","",LEN(TRIM(C33&amp;" "&amp;D33&amp;" "&amp;E33&amp;" "&amp;F33&amp;" "&amp;G33&amp;" "&amp;H33))-LEN(SUBSTITUTE(TRIM(C33&amp;" "&amp;D33&amp;" "&amp;E33&amp;" "&amp;F33&amp;" "&amp;G33&amp;" "&amp;H33)," ",""))+1)</x:f>
      </x:c>
      <x:c r="L33" s="30"/>
    </x:row>
    <x:row r="34">
      <x:c r="A34" s="30"/>
      <x:c r="B34" s="30"/>
      <x:c r="C34" s="30"/>
      <x:c r="D34" s="30"/>
      <x:c r="E34" s="30"/>
      <x:c r="F34" s="30"/>
      <x:c r="G34" s="30"/>
      <x:c r="H34" s="30"/>
      <x:c r="I34" s="30"/>
      <x:c r="J34" s="30" t="str">
        <x:f>IF(F34="","",LEN(C34&amp;D34&amp;E34&amp;F34&amp;G34&amp;H34))</x:f>
      </x:c>
      <x:c r="K34" s="30" t="str">
        <x:f>IF(TRIM(C34&amp;" "&amp;D34&amp;" "&amp;E34&amp;" "&amp;F34&amp;" "&amp;G34&amp;" "&amp;H34)="","",LEN(TRIM(C34&amp;" "&amp;D34&amp;" "&amp;E34&amp;" "&amp;F34&amp;" "&amp;G34&amp;" "&amp;H34))-LEN(SUBSTITUTE(TRIM(C34&amp;" "&amp;D34&amp;" "&amp;E34&amp;" "&amp;F34&amp;" "&amp;G34&amp;" "&amp;H34)," ",""))+1)</x:f>
      </x:c>
      <x:c r="L34" s="30"/>
    </x:row>
    <x:row r="35">
      <x:c r="A35" s="30"/>
      <x:c r="B35" s="30"/>
      <x:c r="C35" s="30"/>
      <x:c r="D35" s="30"/>
      <x:c r="E35" s="30"/>
      <x:c r="F35" s="30"/>
      <x:c r="G35" s="30"/>
      <x:c r="H35" s="30"/>
      <x:c r="I35" s="30"/>
      <x:c r="J35" s="30" t="str">
        <x:f>IF(F35="","",LEN(C35&amp;D35&amp;E35&amp;F35&amp;G35&amp;H35))</x:f>
      </x:c>
      <x:c r="K35" s="30" t="str">
        <x:f>IF(TRIM(C35&amp;" "&amp;D35&amp;" "&amp;E35&amp;" "&amp;F35&amp;" "&amp;G35&amp;" "&amp;H35)="","",LEN(TRIM(C35&amp;" "&amp;D35&amp;" "&amp;E35&amp;" "&amp;F35&amp;" "&amp;G35&amp;" "&amp;H35))-LEN(SUBSTITUTE(TRIM(C35&amp;" "&amp;D35&amp;" "&amp;E35&amp;" "&amp;F35&amp;" "&amp;G35&amp;" "&amp;H35)," ",""))+1)</x:f>
      </x:c>
      <x:c r="L35" s="30"/>
    </x:row>
    <x:row r="36">
      <x:c r="A36" s="30"/>
      <x:c r="B36" s="30"/>
      <x:c r="C36" s="30"/>
      <x:c r="D36" s="30"/>
      <x:c r="E36" s="30"/>
      <x:c r="F36" s="30"/>
      <x:c r="G36" s="30"/>
      <x:c r="H36" s="30"/>
      <x:c r="I36" s="30"/>
      <x:c r="J36" s="30" t="str">
        <x:f>IF(F36="","",LEN(C36&amp;D36&amp;E36&amp;F36&amp;G36&amp;H36))</x:f>
      </x:c>
      <x:c r="K36" s="30" t="str">
        <x:f>IF(TRIM(C36&amp;" "&amp;D36&amp;" "&amp;E36&amp;" "&amp;F36&amp;" "&amp;G36&amp;" "&amp;H36)="","",LEN(TRIM(C36&amp;" "&amp;D36&amp;" "&amp;E36&amp;" "&amp;F36&amp;" "&amp;G36&amp;" "&amp;H36))-LEN(SUBSTITUTE(TRIM(C36&amp;" "&amp;D36&amp;" "&amp;E36&amp;" "&amp;F36&amp;" "&amp;G36&amp;" "&amp;H36)," ",""))+1)</x:f>
      </x:c>
      <x:c r="L36" s="30"/>
    </x:row>
    <x:row r="37">
      <x:c r="A37" s="30"/>
      <x:c r="B37" s="30"/>
      <x:c r="C37" s="30"/>
      <x:c r="D37" s="30"/>
      <x:c r="E37" s="30"/>
      <x:c r="F37" s="30"/>
      <x:c r="G37" s="30"/>
      <x:c r="H37" s="30"/>
      <x:c r="I37" s="30"/>
      <x:c r="J37" s="30" t="str">
        <x:f>IF(F37="","",LEN(C37&amp;D37&amp;E37&amp;F37&amp;G37&amp;H37))</x:f>
      </x:c>
      <x:c r="K37" s="30" t="str">
        <x:f>IF(TRIM(C37&amp;" "&amp;D37&amp;" "&amp;E37&amp;" "&amp;F37&amp;" "&amp;G37&amp;" "&amp;H37)="","",LEN(TRIM(C37&amp;" "&amp;D37&amp;" "&amp;E37&amp;" "&amp;F37&amp;" "&amp;G37&amp;" "&amp;H37))-LEN(SUBSTITUTE(TRIM(C37&amp;" "&amp;D37&amp;" "&amp;E37&amp;" "&amp;F37&amp;" "&amp;G37&amp;" "&amp;H37)," ",""))+1)</x:f>
      </x:c>
      <x:c r="L37" s="30"/>
    </x:row>
    <x:row r="38">
      <x:c r="A38" s="30"/>
      <x:c r="B38" s="30"/>
      <x:c r="C38" s="30"/>
      <x:c r="D38" s="30"/>
      <x:c r="E38" s="30"/>
      <x:c r="F38" s="30"/>
      <x:c r="G38" s="30"/>
      <x:c r="H38" s="30"/>
      <x:c r="I38" s="30"/>
      <x:c r="J38" s="30" t="str">
        <x:f>IF(F38="","",LEN(C38&amp;D38&amp;E38&amp;F38&amp;G38&amp;H38))</x:f>
      </x:c>
      <x:c r="K38" s="30" t="str">
        <x:f>IF(TRIM(C38&amp;" "&amp;D38&amp;" "&amp;E38&amp;" "&amp;F38&amp;" "&amp;G38&amp;" "&amp;H38)="","",LEN(TRIM(C38&amp;" "&amp;D38&amp;" "&amp;E38&amp;" "&amp;F38&amp;" "&amp;G38&amp;" "&amp;H38))-LEN(SUBSTITUTE(TRIM(C38&amp;" "&amp;D38&amp;" "&amp;E38&amp;" "&amp;F38&amp;" "&amp;G38&amp;" "&amp;H38)," ",""))+1)</x:f>
      </x:c>
      <x:c r="L38" s="30"/>
    </x:row>
    <x:row r="39">
      <x:c r="A39" s="30"/>
      <x:c r="B39" s="30"/>
      <x:c r="C39" s="30"/>
      <x:c r="D39" s="30"/>
      <x:c r="E39" s="30"/>
      <x:c r="F39" s="30"/>
      <x:c r="G39" s="30"/>
      <x:c r="H39" s="30"/>
      <x:c r="I39" s="30"/>
      <x:c r="J39" s="30" t="str">
        <x:f>IF(F39="","",LEN(C39&amp;D39&amp;E39&amp;F39&amp;G39&amp;H39))</x:f>
      </x:c>
      <x:c r="K39" s="30" t="str">
        <x:f>IF(TRIM(C39&amp;" "&amp;D39&amp;" "&amp;E39&amp;" "&amp;F39&amp;" "&amp;G39&amp;" "&amp;H39)="","",LEN(TRIM(C39&amp;" "&amp;D39&amp;" "&amp;E39&amp;" "&amp;F39&amp;" "&amp;G39&amp;" "&amp;H39))-LEN(SUBSTITUTE(TRIM(C39&amp;" "&amp;D39&amp;" "&amp;E39&amp;" "&amp;F39&amp;" "&amp;G39&amp;" "&amp;H39)," ",""))+1)</x:f>
      </x:c>
      <x:c r="L39" s="30"/>
    </x:row>
    <x:row r="40">
      <x:c r="A40" s="30"/>
      <x:c r="B40" s="30"/>
      <x:c r="C40" s="30"/>
      <x:c r="D40" s="30"/>
      <x:c r="E40" s="30"/>
      <x:c r="F40" s="30"/>
      <x:c r="G40" s="30"/>
      <x:c r="H40" s="30"/>
      <x:c r="I40" s="30"/>
      <x:c r="J40" s="30" t="str">
        <x:f>IF(F40="","",LEN(C40&amp;D40&amp;E40&amp;F40&amp;G40&amp;H40))</x:f>
      </x:c>
      <x:c r="K40" s="30" t="str">
        <x:f>IF(TRIM(C40&amp;" "&amp;D40&amp;" "&amp;E40&amp;" "&amp;F40&amp;" "&amp;G40&amp;" "&amp;H40)="","",LEN(TRIM(C40&amp;" "&amp;D40&amp;" "&amp;E40&amp;" "&amp;F40&amp;" "&amp;G40&amp;" "&amp;H40))-LEN(SUBSTITUTE(TRIM(C40&amp;" "&amp;D40&amp;" "&amp;E40&amp;" "&amp;F40&amp;" "&amp;G40&amp;" "&amp;H40)," ",""))+1)</x:f>
      </x:c>
      <x:c r="L40" s="30"/>
    </x:row>
    <x:row r="41">
      <x:c r="A41" s="30"/>
      <x:c r="B41" s="30"/>
      <x:c r="C41" s="30"/>
      <x:c r="D41" s="30"/>
      <x:c r="E41" s="30"/>
      <x:c r="F41" s="30"/>
      <x:c r="G41" s="30"/>
      <x:c r="H41" s="30"/>
      <x:c r="I41" s="30"/>
      <x:c r="J41" s="30" t="str">
        <x:f>IF(F41="","",LEN(C41&amp;D41&amp;E41&amp;F41&amp;G41&amp;H41))</x:f>
      </x:c>
      <x:c r="K41" s="30" t="str">
        <x:f>IF(TRIM(C41&amp;" "&amp;D41&amp;" "&amp;E41&amp;" "&amp;F41&amp;" "&amp;G41&amp;" "&amp;H41)="","",LEN(TRIM(C41&amp;" "&amp;D41&amp;" "&amp;E41&amp;" "&amp;F41&amp;" "&amp;G41&amp;" "&amp;H41))-LEN(SUBSTITUTE(TRIM(C41&amp;" "&amp;D41&amp;" "&amp;E41&amp;" "&amp;F41&amp;" "&amp;G41&amp;" "&amp;H41)," ",""))+1)</x:f>
      </x:c>
      <x:c r="L41" s="30"/>
    </x:row>
    <x:row r="42">
      <x:c r="A42" s="30"/>
      <x:c r="B42" s="30"/>
      <x:c r="C42" s="30"/>
      <x:c r="D42" s="30"/>
      <x:c r="E42" s="30"/>
      <x:c r="F42" s="30"/>
      <x:c r="G42" s="30"/>
      <x:c r="H42" s="30"/>
      <x:c r="I42" s="30"/>
      <x:c r="J42" s="30" t="str">
        <x:f>IF(F42="","",LEN(C42&amp;D42&amp;E42&amp;F42&amp;G42&amp;H42))</x:f>
      </x:c>
      <x:c r="K42" s="30" t="str">
        <x:f>IF(TRIM(C42&amp;" "&amp;D42&amp;" "&amp;E42&amp;" "&amp;F42&amp;" "&amp;G42&amp;" "&amp;H42)="","",LEN(TRIM(C42&amp;" "&amp;D42&amp;" "&amp;E42&amp;" "&amp;F42&amp;" "&amp;G42&amp;" "&amp;H42))-LEN(SUBSTITUTE(TRIM(C42&amp;" "&amp;D42&amp;" "&amp;E42&amp;" "&amp;F42&amp;" "&amp;G42&amp;" "&amp;H42)," ",""))+1)</x:f>
      </x:c>
      <x:c r="L42" s="30"/>
    </x:row>
    <x:row r="43">
      <x:c r="A43" s="30"/>
      <x:c r="B43" s="30"/>
      <x:c r="C43" s="30"/>
      <x:c r="D43" s="30"/>
      <x:c r="E43" s="30"/>
      <x:c r="F43" s="30"/>
      <x:c r="G43" s="30"/>
      <x:c r="H43" s="30"/>
      <x:c r="I43" s="30"/>
      <x:c r="J43" s="30" t="str">
        <x:f>IF(F43="","",LEN(C43&amp;D43&amp;E43&amp;F43&amp;G43&amp;H43))</x:f>
      </x:c>
      <x:c r="K43" s="30" t="str">
        <x:f>IF(TRIM(C43&amp;" "&amp;D43&amp;" "&amp;E43&amp;" "&amp;F43&amp;" "&amp;G43&amp;" "&amp;H43)="","",LEN(TRIM(C43&amp;" "&amp;D43&amp;" "&amp;E43&amp;" "&amp;F43&amp;" "&amp;G43&amp;" "&amp;H43))-LEN(SUBSTITUTE(TRIM(C43&amp;" "&amp;D43&amp;" "&amp;E43&amp;" "&amp;F43&amp;" "&amp;G43&amp;" "&amp;H43)," ",""))+1)</x:f>
      </x:c>
      <x:c r="L43" s="30"/>
    </x:row>
    <x:row r="44">
      <x:c r="A44" s="30"/>
      <x:c r="B44" s="30"/>
      <x:c r="C44" s="30"/>
      <x:c r="D44" s="30"/>
      <x:c r="E44" s="30"/>
      <x:c r="F44" s="30"/>
      <x:c r="G44" s="30"/>
      <x:c r="H44" s="30"/>
      <x:c r="I44" s="30"/>
      <x:c r="J44" s="30" t="str">
        <x:f>IF(F44="","",LEN(C44&amp;D44&amp;E44&amp;F44&amp;G44&amp;H44))</x:f>
      </x:c>
      <x:c r="K44" s="30" t="str">
        <x:f>IF(TRIM(C44&amp;" "&amp;D44&amp;" "&amp;E44&amp;" "&amp;F44&amp;" "&amp;G44&amp;" "&amp;H44)="","",LEN(TRIM(C44&amp;" "&amp;D44&amp;" "&amp;E44&amp;" "&amp;F44&amp;" "&amp;G44&amp;" "&amp;H44))-LEN(SUBSTITUTE(TRIM(C44&amp;" "&amp;D44&amp;" "&amp;E44&amp;" "&amp;F44&amp;" "&amp;G44&amp;" "&amp;H44)," ",""))+1)</x:f>
      </x:c>
      <x:c r="L44" s="30"/>
    </x:row>
    <x:row r="45">
      <x:c r="A45" s="30"/>
      <x:c r="B45" s="30"/>
      <x:c r="C45" s="30"/>
      <x:c r="D45" s="30"/>
      <x:c r="E45" s="30"/>
      <x:c r="F45" s="30"/>
      <x:c r="G45" s="30"/>
      <x:c r="H45" s="30"/>
      <x:c r="I45" s="30"/>
      <x:c r="J45" s="30" t="str">
        <x:f>IF(F45="","",LEN(C45&amp;D45&amp;E45&amp;F45&amp;G45&amp;H45))</x:f>
      </x:c>
      <x:c r="K45" s="30" t="str">
        <x:f>IF(TRIM(C45&amp;" "&amp;D45&amp;" "&amp;E45&amp;" "&amp;F45&amp;" "&amp;G45&amp;" "&amp;H45)="","",LEN(TRIM(C45&amp;" "&amp;D45&amp;" "&amp;E45&amp;" "&amp;F45&amp;" "&amp;G45&amp;" "&amp;H45))-LEN(SUBSTITUTE(TRIM(C45&amp;" "&amp;D45&amp;" "&amp;E45&amp;" "&amp;F45&amp;" "&amp;G45&amp;" "&amp;H45)," ",""))+1)</x:f>
      </x:c>
      <x:c r="L45" s="30"/>
    </x:row>
    <x:row r="46">
      <x:c r="A46" s="30"/>
      <x:c r="B46" s="30"/>
      <x:c r="C46" s="30"/>
      <x:c r="D46" s="30"/>
      <x:c r="E46" s="30"/>
      <x:c r="F46" s="30"/>
      <x:c r="G46" s="30"/>
      <x:c r="H46" s="30"/>
      <x:c r="I46" s="30"/>
      <x:c r="J46" s="30" t="str">
        <x:f>IF(F46="","",LEN(C46&amp;D46&amp;E46&amp;F46&amp;G46&amp;H46))</x:f>
      </x:c>
      <x:c r="K46" s="30" t="str">
        <x:f>IF(TRIM(C46&amp;" "&amp;D46&amp;" "&amp;E46&amp;" "&amp;F46&amp;" "&amp;G46&amp;" "&amp;H46)="","",LEN(TRIM(C46&amp;" "&amp;D46&amp;" "&amp;E46&amp;" "&amp;F46&amp;" "&amp;G46&amp;" "&amp;H46))-LEN(SUBSTITUTE(TRIM(C46&amp;" "&amp;D46&amp;" "&amp;E46&amp;" "&amp;F46&amp;" "&amp;G46&amp;" "&amp;H46)," ",""))+1)</x:f>
      </x:c>
      <x:c r="L46" s="30"/>
    </x:row>
    <x:row r="47">
      <x:c r="A47" s="30"/>
      <x:c r="B47" s="30"/>
      <x:c r="C47" s="30"/>
      <x:c r="D47" s="30"/>
      <x:c r="E47" s="30"/>
      <x:c r="F47" s="30"/>
      <x:c r="G47" s="30"/>
      <x:c r="H47" s="30"/>
      <x:c r="I47" s="30"/>
      <x:c r="J47" s="30" t="str">
        <x:f>IF(F47="","",LEN(C47&amp;D47&amp;E47&amp;F47&amp;G47&amp;H47))</x:f>
      </x:c>
      <x:c r="K47" s="30" t="str">
        <x:f>IF(TRIM(C47&amp;" "&amp;D47&amp;" "&amp;E47&amp;" "&amp;F47&amp;" "&amp;G47&amp;" "&amp;H47)="","",LEN(TRIM(C47&amp;" "&amp;D47&amp;" "&amp;E47&amp;" "&amp;F47&amp;" "&amp;G47&amp;" "&amp;H47))-LEN(SUBSTITUTE(TRIM(C47&amp;" "&amp;D47&amp;" "&amp;E47&amp;" "&amp;F47&amp;" "&amp;G47&amp;" "&amp;H47)," ",""))+1)</x:f>
      </x:c>
      <x:c r="L47" s="30"/>
    </x:row>
    <x:row r="48">
      <x:c r="A48" s="30"/>
      <x:c r="B48" s="30"/>
      <x:c r="C48" s="30"/>
      <x:c r="D48" s="30"/>
      <x:c r="E48" s="30"/>
      <x:c r="F48" s="30"/>
      <x:c r="G48" s="30"/>
      <x:c r="H48" s="30"/>
      <x:c r="I48" s="30"/>
      <x:c r="J48" s="30" t="str">
        <x:f>IF(F48="","",LEN(C48&amp;D48&amp;E48&amp;F48&amp;G48&amp;H48))</x:f>
      </x:c>
      <x:c r="K48" s="30" t="str">
        <x:f>IF(TRIM(C48&amp;" "&amp;D48&amp;" "&amp;E48&amp;" "&amp;F48&amp;" "&amp;G48&amp;" "&amp;H48)="","",LEN(TRIM(C48&amp;" "&amp;D48&amp;" "&amp;E48&amp;" "&amp;F48&amp;" "&amp;G48&amp;" "&amp;H48))-LEN(SUBSTITUTE(TRIM(C48&amp;" "&amp;D48&amp;" "&amp;E48&amp;" "&amp;F48&amp;" "&amp;G48&amp;" "&amp;H48)," ",""))+1)</x:f>
      </x:c>
      <x:c r="L48" s="30"/>
    </x:row>
    <x:row r="49">
      <x:c r="A49" s="30"/>
      <x:c r="B49" s="30"/>
      <x:c r="C49" s="30"/>
      <x:c r="D49" s="30"/>
      <x:c r="E49" s="30"/>
      <x:c r="F49" s="30"/>
      <x:c r="G49" s="30"/>
      <x:c r="H49" s="30"/>
      <x:c r="I49" s="30"/>
      <x:c r="J49" s="30" t="str">
        <x:f>IF(F49="","",LEN(C49&amp;D49&amp;E49&amp;F49&amp;G49&amp;H49))</x:f>
      </x:c>
      <x:c r="K49" s="30" t="str">
        <x:f>IF(TRIM(C49&amp;" "&amp;D49&amp;" "&amp;E49&amp;" "&amp;F49&amp;" "&amp;G49&amp;" "&amp;H49)="","",LEN(TRIM(C49&amp;" "&amp;D49&amp;" "&amp;E49&amp;" "&amp;F49&amp;" "&amp;G49&amp;" "&amp;H49))-LEN(SUBSTITUTE(TRIM(C49&amp;" "&amp;D49&amp;" "&amp;E49&amp;" "&amp;F49&amp;" "&amp;G49&amp;" "&amp;H49)," ",""))+1)</x:f>
      </x:c>
      <x:c r="L49" s="30"/>
    </x:row>
    <x:row r="50">
      <x:c r="A50" s="30"/>
      <x:c r="B50" s="30"/>
      <x:c r="C50" s="30"/>
      <x:c r="D50" s="30"/>
      <x:c r="E50" s="30"/>
      <x:c r="F50" s="30"/>
      <x:c r="G50" s="30"/>
      <x:c r="H50" s="30"/>
      <x:c r="I50" s="30"/>
      <x:c r="J50" s="30" t="str">
        <x:f>IF(F50="","",LEN(C50&amp;D50&amp;E50&amp;F50&amp;G50&amp;H50))</x:f>
      </x:c>
      <x:c r="K50" s="30" t="str">
        <x:f>IF(TRIM(C50&amp;" "&amp;D50&amp;" "&amp;E50&amp;" "&amp;F50&amp;" "&amp;G50&amp;" "&amp;H50)="","",LEN(TRIM(C50&amp;" "&amp;D50&amp;" "&amp;E50&amp;" "&amp;F50&amp;" "&amp;G50&amp;" "&amp;H50))-LEN(SUBSTITUTE(TRIM(C50&amp;" "&amp;D50&amp;" "&amp;E50&amp;" "&amp;F50&amp;" "&amp;G50&amp;" "&amp;H50)," ",""))+1)</x:f>
      </x:c>
      <x:c r="L50" s="30"/>
    </x:row>
    <x:row r="51">
      <x:c r="A51" s="30"/>
      <x:c r="B51" s="30"/>
      <x:c r="C51" s="30"/>
      <x:c r="D51" s="30"/>
      <x:c r="E51" s="30"/>
      <x:c r="F51" s="30"/>
      <x:c r="G51" s="30"/>
      <x:c r="H51" s="30"/>
      <x:c r="I51" s="30"/>
      <x:c r="J51" s="30" t="str">
        <x:f>IF(F51="","",LEN(C51&amp;D51&amp;E51&amp;F51&amp;G51&amp;H51))</x:f>
      </x:c>
      <x:c r="K51" s="30" t="str">
        <x:f>IF(TRIM(C51&amp;" "&amp;D51&amp;" "&amp;E51&amp;" "&amp;F51&amp;" "&amp;G51&amp;" "&amp;H51)="","",LEN(TRIM(C51&amp;" "&amp;D51&amp;" "&amp;E51&amp;" "&amp;F51&amp;" "&amp;G51&amp;" "&amp;H51))-LEN(SUBSTITUTE(TRIM(C51&amp;" "&amp;D51&amp;" "&amp;E51&amp;" "&amp;F51&amp;" "&amp;G51&amp;" "&amp;H51)," ",""))+1)</x:f>
      </x:c>
      <x:c r="L51" s="30"/>
    </x:row>
    <x:row r="52">
      <x:c r="A52" s="30"/>
      <x:c r="B52" s="30"/>
      <x:c r="C52" s="30"/>
      <x:c r="D52" s="30"/>
      <x:c r="E52" s="30"/>
      <x:c r="F52" s="30"/>
      <x:c r="G52" s="30"/>
      <x:c r="H52" s="30"/>
      <x:c r="I52" s="30"/>
      <x:c r="J52" s="30" t="str">
        <x:f>IF(F52="","",LEN(C52&amp;D52&amp;E52&amp;F52&amp;G52&amp;H52))</x:f>
      </x:c>
      <x:c r="K52" s="30" t="str">
        <x:f>IF(TRIM(C52&amp;" "&amp;D52&amp;" "&amp;E52&amp;" "&amp;F52&amp;" "&amp;G52&amp;" "&amp;H52)="","",LEN(TRIM(C52&amp;" "&amp;D52&amp;" "&amp;E52&amp;" "&amp;F52&amp;" "&amp;G52&amp;" "&amp;H52))-LEN(SUBSTITUTE(TRIM(C52&amp;" "&amp;D52&amp;" "&amp;E52&amp;" "&amp;F52&amp;" "&amp;G52&amp;" "&amp;H52)," ",""))+1)</x:f>
      </x:c>
      <x:c r="L52" s="30"/>
    </x:row>
    <x:row r="53">
      <x:c r="A53" s="30"/>
      <x:c r="B53" s="30"/>
      <x:c r="C53" s="30"/>
      <x:c r="D53" s="30"/>
      <x:c r="E53" s="30"/>
      <x:c r="F53" s="30"/>
      <x:c r="G53" s="30"/>
      <x:c r="H53" s="30"/>
      <x:c r="I53" s="30"/>
      <x:c r="J53" s="30" t="str">
        <x:f>IF(F53="","",LEN(C53&amp;D53&amp;E53&amp;F53&amp;G53&amp;H53))</x:f>
      </x:c>
      <x:c r="K53" s="30" t="str">
        <x:f>IF(TRIM(C53&amp;" "&amp;D53&amp;" "&amp;E53&amp;" "&amp;F53&amp;" "&amp;G53&amp;" "&amp;H53)="","",LEN(TRIM(C53&amp;" "&amp;D53&amp;" "&amp;E53&amp;" "&amp;F53&amp;" "&amp;G53&amp;" "&amp;H53))-LEN(SUBSTITUTE(TRIM(C53&amp;" "&amp;D53&amp;" "&amp;E53&amp;" "&amp;F53&amp;" "&amp;G53&amp;" "&amp;H53)," ",""))+1)</x:f>
      </x:c>
      <x:c r="L53" s="30"/>
    </x:row>
    <x:row r="54">
      <x:c r="A54" s="30"/>
      <x:c r="B54" s="30"/>
      <x:c r="C54" s="30"/>
      <x:c r="D54" s="30"/>
      <x:c r="E54" s="30"/>
      <x:c r="F54" s="30"/>
      <x:c r="G54" s="30"/>
      <x:c r="H54" s="30"/>
      <x:c r="I54" s="30"/>
      <x:c r="J54" s="30" t="str">
        <x:f>IF(F54="","",LEN(C54&amp;D54&amp;E54&amp;F54&amp;G54&amp;H54))</x:f>
      </x:c>
      <x:c r="K54" s="30" t="str">
        <x:f>IF(TRIM(C54&amp;" "&amp;D54&amp;" "&amp;E54&amp;" "&amp;F54&amp;" "&amp;G54&amp;" "&amp;H54)="","",LEN(TRIM(C54&amp;" "&amp;D54&amp;" "&amp;E54&amp;" "&amp;F54&amp;" "&amp;G54&amp;" "&amp;H54))-LEN(SUBSTITUTE(TRIM(C54&amp;" "&amp;D54&amp;" "&amp;E54&amp;" "&amp;F54&amp;" "&amp;G54&amp;" "&amp;H54)," ",""))+1)</x:f>
      </x:c>
      <x:c r="L54" s="30"/>
    </x:row>
    <x:row r="55">
      <x:c r="A55" s="30"/>
      <x:c r="B55" s="30"/>
      <x:c r="C55" s="30"/>
      <x:c r="D55" s="30"/>
      <x:c r="E55" s="30"/>
      <x:c r="F55" s="30"/>
      <x:c r="G55" s="30"/>
      <x:c r="H55" s="30"/>
      <x:c r="I55" s="30"/>
      <x:c r="J55" s="30" t="str">
        <x:f>IF(F55="","",LEN(C55&amp;D55&amp;E55&amp;F55&amp;G55&amp;H55))</x:f>
      </x:c>
      <x:c r="K55" s="30" t="str">
        <x:f>IF(TRIM(C55&amp;" "&amp;D55&amp;" "&amp;E55&amp;" "&amp;F55&amp;" "&amp;G55&amp;" "&amp;H55)="","",LEN(TRIM(C55&amp;" "&amp;D55&amp;" "&amp;E55&amp;" "&amp;F55&amp;" "&amp;G55&amp;" "&amp;H55))-LEN(SUBSTITUTE(TRIM(C55&amp;" "&amp;D55&amp;" "&amp;E55&amp;" "&amp;F55&amp;" "&amp;G55&amp;" "&amp;H55)," ",""))+1)</x:f>
      </x:c>
      <x:c r="L55" s="30"/>
    </x:row>
    <x:row r="56">
      <x:c r="A56" s="30"/>
      <x:c r="B56" s="30"/>
      <x:c r="C56" s="30"/>
      <x:c r="D56" s="30"/>
      <x:c r="E56" s="30"/>
      <x:c r="F56" s="30"/>
      <x:c r="G56" s="30"/>
      <x:c r="H56" s="30"/>
      <x:c r="I56" s="30"/>
      <x:c r="J56" s="30" t="str">
        <x:f>IF(F56="","",LEN(C56&amp;D56&amp;E56&amp;F56&amp;G56&amp;H56))</x:f>
      </x:c>
      <x:c r="K56" s="30" t="str">
        <x:f>IF(TRIM(C56&amp;" "&amp;D56&amp;" "&amp;E56&amp;" "&amp;F56&amp;" "&amp;G56&amp;" "&amp;H56)="","",LEN(TRIM(C56&amp;" "&amp;D56&amp;" "&amp;E56&amp;" "&amp;F56&amp;" "&amp;G56&amp;" "&amp;H56))-LEN(SUBSTITUTE(TRIM(C56&amp;" "&amp;D56&amp;" "&amp;E56&amp;" "&amp;F56&amp;" "&amp;G56&amp;" "&amp;H56)," ",""))+1)</x:f>
      </x:c>
      <x:c r="L56" s="30"/>
    </x:row>
    <x:row r="57">
      <x:c r="A57" s="30"/>
      <x:c r="B57" s="30"/>
      <x:c r="C57" s="30"/>
      <x:c r="D57" s="30"/>
      <x:c r="E57" s="30"/>
      <x:c r="F57" s="30"/>
      <x:c r="G57" s="30"/>
      <x:c r="H57" s="30"/>
      <x:c r="I57" s="30"/>
      <x:c r="J57" s="30" t="str">
        <x:f>IF(F57="","",LEN(C57&amp;D57&amp;E57&amp;F57&amp;G57&amp;H57))</x:f>
      </x:c>
      <x:c r="K57" s="30" t="str">
        <x:f>IF(TRIM(C57&amp;" "&amp;D57&amp;" "&amp;E57&amp;" "&amp;F57&amp;" "&amp;G57&amp;" "&amp;H57)="","",LEN(TRIM(C57&amp;" "&amp;D57&amp;" "&amp;E57&amp;" "&amp;F57&amp;" "&amp;G57&amp;" "&amp;H57))-LEN(SUBSTITUTE(TRIM(C57&amp;" "&amp;D57&amp;" "&amp;E57&amp;" "&amp;F57&amp;" "&amp;G57&amp;" "&amp;H57)," ",""))+1)</x:f>
      </x:c>
      <x:c r="L57" s="30"/>
    </x:row>
    <x:row r="58">
      <x:c r="A58" s="30"/>
      <x:c r="B58" s="30"/>
      <x:c r="C58" s="30"/>
      <x:c r="D58" s="30"/>
      <x:c r="E58" s="30"/>
      <x:c r="F58" s="30"/>
      <x:c r="G58" s="30"/>
      <x:c r="H58" s="30"/>
      <x:c r="I58" s="30"/>
      <x:c r="J58" s="30" t="str">
        <x:f>IF(F58="","",LEN(C58&amp;D58&amp;E58&amp;F58&amp;G58&amp;H58))</x:f>
      </x:c>
      <x:c r="K58" s="30" t="str">
        <x:f>IF(TRIM(C58&amp;" "&amp;D58&amp;" "&amp;E58&amp;" "&amp;F58&amp;" "&amp;G58&amp;" "&amp;H58)="","",LEN(TRIM(C58&amp;" "&amp;D58&amp;" "&amp;E58&amp;" "&amp;F58&amp;" "&amp;G58&amp;" "&amp;H58))-LEN(SUBSTITUTE(TRIM(C58&amp;" "&amp;D58&amp;" "&amp;E58&amp;" "&amp;F58&amp;" "&amp;G58&amp;" "&amp;H58)," ",""))+1)</x:f>
      </x:c>
      <x:c r="L58" s="30"/>
    </x:row>
    <x:row r="59">
      <x:c r="A59" s="30"/>
      <x:c r="B59" s="30"/>
      <x:c r="C59" s="30"/>
      <x:c r="D59" s="30"/>
      <x:c r="E59" s="30"/>
      <x:c r="F59" s="30"/>
      <x:c r="G59" s="30"/>
      <x:c r="H59" s="30"/>
      <x:c r="I59" s="30"/>
      <x:c r="J59" s="30" t="str">
        <x:f>IF(F59="","",LEN(C59&amp;D59&amp;E59&amp;F59&amp;G59&amp;H59))</x:f>
      </x:c>
      <x:c r="K59" s="30" t="str">
        <x:f>IF(TRIM(C59&amp;" "&amp;D59&amp;" "&amp;E59&amp;" "&amp;F59&amp;" "&amp;G59&amp;" "&amp;H59)="","",LEN(TRIM(C59&amp;" "&amp;D59&amp;" "&amp;E59&amp;" "&amp;F59&amp;" "&amp;G59&amp;" "&amp;H59))-LEN(SUBSTITUTE(TRIM(C59&amp;" "&amp;D59&amp;" "&amp;E59&amp;" "&amp;F59&amp;" "&amp;G59&amp;" "&amp;H59)," ",""))+1)</x:f>
      </x:c>
      <x:c r="L59" s="30"/>
    </x:row>
    <x:row r="60">
      <x:c r="A60" s="30"/>
      <x:c r="B60" s="30"/>
      <x:c r="C60" s="30"/>
      <x:c r="D60" s="30"/>
      <x:c r="E60" s="30"/>
      <x:c r="F60" s="30"/>
      <x:c r="G60" s="30"/>
      <x:c r="H60" s="30"/>
      <x:c r="I60" s="30"/>
      <x:c r="J60" s="30" t="str">
        <x:f>IF(F60="","",LEN(C60&amp;D60&amp;E60&amp;F60&amp;G60&amp;H60))</x:f>
      </x:c>
      <x:c r="K60" s="30" t="str">
        <x:f>IF(TRIM(C60&amp;" "&amp;D60&amp;" "&amp;E60&amp;" "&amp;F60&amp;" "&amp;G60&amp;" "&amp;H60)="","",LEN(TRIM(C60&amp;" "&amp;D60&amp;" "&amp;E60&amp;" "&amp;F60&amp;" "&amp;G60&amp;" "&amp;H60))-LEN(SUBSTITUTE(TRIM(C60&amp;" "&amp;D60&amp;" "&amp;E60&amp;" "&amp;F60&amp;" "&amp;G60&amp;" "&amp;H60)," ",""))+1)</x:f>
      </x:c>
      <x:c r="L60" s="30"/>
    </x:row>
  </x:sheetData>
  <x:mergeCells>
    <x:mergeCell ref="A1:H2"/>
    <x:mergeCell ref="A3:H3"/>
  </x:mergeCells>
  <x:conditionalFormatting sqref="I7:I60">
    <x:cfRule type="expression" dxfId="99" priority="1">
      <x:formula>I7="ACEITO"</x:formula>
    </x:cfRule>
    <x:cfRule type="expression" dxfId="100" priority="2">
      <x:formula>I7="PUBLICADO"</x:formula>
    </x:cfRule>
    <x:cfRule type="expression" dxfId="101" priority="3">
      <x:formula>I7="EM PRODUÇÃO"</x:formula>
    </x:cfRule>
    <x:cfRule type="expression" dxfId="102" priority="4">
      <x:formula>I7="ARGUMENTAÇÃO"</x:formula>
    </x:cfRule>
    <x:cfRule type="expression" dxfId="103" priority="5">
      <x:formula>I7="PESQUISA"</x:formula>
    </x:cfRule>
    <x:cfRule type="expression" dxfId="104" priority="6">
      <x:formula>I7="EM REVISÃO"</x:formula>
    </x:cfRule>
    <x:cfRule type="expression" dxfId="105" priority="7">
      <x:formula>I7="EM RISCO"</x:formula>
    </x:cfRule>
    <x:cfRule type="expression" dxfId="106" priority="8">
      <x:formula>I7="BLOQUEADO"</x:formula>
    </x:cfRule>
    <x:cfRule type="expression" dxfId="107" priority="9">
      <x:formula>I7="RASCUNHO"</x:formula>
    </x:cfRule>
    <x:cfRule type="expression" dxfId="108" priority="10">
      <x:formula>I7="PLANEJADO"</x:formula>
    </x:cfRule>
    <x:cfRule type="expression" dxfId="109" priority="11">
      <x:formula>I7="TRIAGEM"</x:formula>
    </x:cfRule>
  </x:conditionalFormatting>
  <x:dataValidations count="1">
    <x:dataValidation type="list" sqref="I7:I60">
      <x:formula1>'19_CONFIG_LISTAS'!$A$7:$A$23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44" hidden="0" customWidth="1"/>
    <x:col min="4" max="4" width="14" hidden="0" customWidth="1"/>
    <x:col min="5" max="5" width="56" hidden="0" customWidth="1"/>
    <x:col min="6" max="6" width="14" hidden="0" customWidth="1"/>
    <x:col min="7" max="7" width="42" hidden="0" customWidth="1"/>
    <x:col min="8" max="8" width="36" hidden="0" customWidth="1"/>
    <x:col min="9" max="9" width="36" hidden="0" customWidth="1"/>
    <x:col min="10" max="10" width="18" hidden="0" customWidth="1"/>
  </x:cols>
  <x:sheetData>
    <x:row r="1">
      <x:c r="A1" s="4" t="str">
        <x:v>SEO · METADADOS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Metadados canônicos e links internos por conteúdo.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Content_ID</x:v>
      </x:c>
      <x:c r="B6" s="23" t="str">
        <x:v>Slug</x:v>
      </x:c>
      <x:c r="C6" s="23" t="str">
        <x:v>SEO Title</x:v>
      </x:c>
      <x:c r="D6" s="23" t="str">
        <x:v>Chars title</x:v>
      </x:c>
      <x:c r="E6" s="23" t="str">
        <x:v>Meta description</x:v>
      </x:c>
      <x:c r="F6" s="23" t="str">
        <x:v>Chars meta</x:v>
      </x:c>
      <x:c r="G6" s="23" t="str">
        <x:v>Keyword / entidade principal</x:v>
      </x:c>
      <x:c r="H6" s="23" t="str">
        <x:v>Links internos de entrada</x:v>
      </x:c>
      <x:c r="I6" s="23" t="str">
        <x:v>Links internos de saída</x:v>
      </x:c>
      <x:c r="J6" s="23" t="str">
        <x:v>Status</x:v>
      </x:c>
    </x:row>
    <x:row r="7">
      <x:c r="A7" s="30" t="str">
        <x:v>CNT-RC-0001</x:v>
      </x:c>
      <x:c r="B7" s="30" t="str">
        <x:v>/risco-cognitivo/</x:v>
      </x:c>
      <x:c r="C7" s="30" t="str">
        <x:v>Risco Cognitivo: conceito, exemplos e gestão</x:v>
      </x:c>
      <x:c r="D7" s="30" t="n">
        <x:f>IF(C7="","",LEN(C7))</x:f>
        <x:v>44</x:v>
      </x:c>
      <x:c r="E7" s="30" t="str">
        <x:v>Cognição, decisão e risco no trabalho: uma definição operacional de risco cognitivo, seus limites e como o fenômeno pode ser analisado.</x:v>
      </x:c>
      <x:c r="F7" s="30" t="n">
        <x:f>IF(E7="","",LEN(E7))</x:f>
        <x:v>135</x:v>
      </x:c>
      <x:c r="G7" s="30" t="str">
        <x:v>Risco Cognitivo</x:v>
      </x:c>
      <x:c r="H7" s="30" t="str"/>
      <x:c r="I7" s="30" t="str">
        <x:v>Fatores de Risco Cognitivo</x:v>
      </x:c>
      <x:c r="J7" s="30" t="str">
        <x:v>EM PRODUÇÃO</x:v>
      </x:c>
    </x:row>
    <x:row r="8">
      <x:c r="A8" s="30" t="str">
        <x:v>CNT-RC-0002</x:v>
      </x:c>
      <x:c r="B8" s="30" t="str">
        <x:v>/fatores-de-risco-cognitivo/</x:v>
      </x:c>
      <x:c r="C8" s="30" t="str">
        <x:v>Fatores de Risco Cognitivo: causas e antecedentes</x:v>
      </x:c>
      <x:c r="D8" s="30" t="n">
        <x:f>IF(C8="","",LEN(C8))</x:f>
        <x:v>49</x:v>
      </x:c>
      <x:c r="E8" s="30" t="str">
        <x:v>Conheça fatores individuais, ambientais, organizacionais e tecnológicos que podem aumentar a probabilidade de eventos de risco cognitivo.</x:v>
      </x:c>
      <x:c r="F8" s="30" t="n">
        <x:f>IF(E8="","",LEN(E8))</x:f>
        <x:v>137</x:v>
      </x:c>
      <x:c r="G8" s="30" t="str">
        <x:v>Fatores de Risco Cognitivo</x:v>
      </x:c>
      <x:c r="H8" s="30" t="str">
        <x:v>Risco Cognitivo</x:v>
      </x:c>
      <x:c r="I8" s="30" t="str">
        <x:v>Exposição Cognitiva</x:v>
      </x:c>
      <x:c r="J8" s="30" t="str">
        <x:v>EM PRODUÇÃO</x:v>
      </x:c>
    </x:row>
    <x:row r="9">
      <x:c r="A9" s="30" t="str">
        <x:v>CNT-RC-0003</x:v>
      </x:c>
      <x:c r="B9" s="30" t="str">
        <x:v>/exposicao-cognitiva/</x:v>
      </x:c>
      <x:c r="C9" s="30" t="str">
        <x:v>Exposição Cognitiva: intensidade, frequência e criticidade</x:v>
      </x:c>
      <x:c r="D9" s="30" t="n">
        <x:f>IF(C9="","",LEN(C9))</x:f>
        <x:v>58</x:v>
      </x:c>
      <x:c r="E9" s="30" t="str">
        <x:v>Entenda quando um fator de risco passa a representar exposição relevante e por que intensidade, frequência, duração, criticidade e contexto importam.</x:v>
      </x:c>
      <x:c r="F9" s="30" t="n">
        <x:f>IF(E9="","",LEN(E9))</x:f>
        <x:v>149</x:v>
      </x:c>
      <x:c r="G9" s="30" t="str">
        <x:v>Exposição Cognitiva</x:v>
      </x:c>
      <x:c r="H9" s="30" t="str">
        <x:v>Fatores de Risco Cognitivo</x:v>
      </x:c>
      <x:c r="I9" s="30" t="str">
        <x:v>Eventos de Risco Cognitivo</x:v>
      </x:c>
      <x:c r="J9" s="30" t="str">
        <x:v>EM PRODUÇÃO</x:v>
      </x:c>
    </x:row>
    <x:row r="10">
      <x:c r="A10" s="30"/>
      <x:c r="B10" s="30"/>
      <x:c r="C10" s="30"/>
      <x:c r="D10" s="30" t="str">
        <x:f>IF(C10="","",LEN(C10))</x:f>
      </x:c>
      <x:c r="E10" s="30"/>
      <x:c r="F10" s="30" t="str">
        <x:f>IF(E10="","",LEN(E10))</x:f>
      </x:c>
      <x:c r="G10" s="30"/>
      <x:c r="H10" s="30"/>
      <x:c r="I10" s="30"/>
      <x:c r="J10" s="30"/>
    </x:row>
    <x:row r="11">
      <x:c r="A11" s="30"/>
      <x:c r="B11" s="30"/>
      <x:c r="C11" s="30"/>
      <x:c r="D11" s="30" t="str">
        <x:f>IF(C11="","",LEN(C11))</x:f>
      </x:c>
      <x:c r="E11" s="30"/>
      <x:c r="F11" s="30" t="str">
        <x:f>IF(E11="","",LEN(E11))</x:f>
      </x:c>
      <x:c r="G11" s="30"/>
      <x:c r="H11" s="30"/>
      <x:c r="I11" s="30"/>
      <x:c r="J11" s="30"/>
    </x:row>
    <x:row r="12">
      <x:c r="A12" s="30"/>
      <x:c r="B12" s="30"/>
      <x:c r="C12" s="30"/>
      <x:c r="D12" s="30" t="str">
        <x:f>IF(C12="","",LEN(C12))</x:f>
      </x:c>
      <x:c r="E12" s="30"/>
      <x:c r="F12" s="30" t="str">
        <x:f>IF(E12="","",LEN(E12))</x:f>
      </x:c>
      <x:c r="G12" s="30"/>
      <x:c r="H12" s="30"/>
      <x:c r="I12" s="30"/>
      <x:c r="J12" s="30"/>
    </x:row>
    <x:row r="13">
      <x:c r="A13" s="30"/>
      <x:c r="B13" s="30"/>
      <x:c r="C13" s="30"/>
      <x:c r="D13" s="30" t="str">
        <x:f>IF(C13="","",LEN(C13))</x:f>
      </x:c>
      <x:c r="E13" s="30"/>
      <x:c r="F13" s="30" t="str">
        <x:f>IF(E13="","",LEN(E13))</x:f>
      </x:c>
      <x:c r="G13" s="30"/>
      <x:c r="H13" s="30"/>
      <x:c r="I13" s="30"/>
      <x:c r="J13" s="30"/>
    </x:row>
    <x:row r="14">
      <x:c r="A14" s="30"/>
      <x:c r="B14" s="30"/>
      <x:c r="C14" s="30"/>
      <x:c r="D14" s="30" t="str">
        <x:f>IF(C14="","",LEN(C14))</x:f>
      </x:c>
      <x:c r="E14" s="30"/>
      <x:c r="F14" s="30" t="str">
        <x:f>IF(E14="","",LEN(E14))</x:f>
      </x:c>
      <x:c r="G14" s="30"/>
      <x:c r="H14" s="30"/>
      <x:c r="I14" s="30"/>
      <x:c r="J14" s="30"/>
    </x:row>
    <x:row r="15">
      <x:c r="A15" s="30"/>
      <x:c r="B15" s="30"/>
      <x:c r="C15" s="30"/>
      <x:c r="D15" s="30" t="str">
        <x:f>IF(C15="","",LEN(C15))</x:f>
      </x:c>
      <x:c r="E15" s="30"/>
      <x:c r="F15" s="30" t="str">
        <x:f>IF(E15="","",LEN(E15))</x:f>
      </x:c>
      <x:c r="G15" s="30"/>
      <x:c r="H15" s="30"/>
      <x:c r="I15" s="30"/>
      <x:c r="J15" s="30"/>
    </x:row>
    <x:row r="16">
      <x:c r="A16" s="30"/>
      <x:c r="B16" s="30"/>
      <x:c r="C16" s="30"/>
      <x:c r="D16" s="30" t="str">
        <x:f>IF(C16="","",LEN(C16))</x:f>
      </x:c>
      <x:c r="E16" s="30"/>
      <x:c r="F16" s="30" t="str">
        <x:f>IF(E16="","",LEN(E16))</x:f>
      </x:c>
      <x:c r="G16" s="30"/>
      <x:c r="H16" s="30"/>
      <x:c r="I16" s="30"/>
      <x:c r="J16" s="30"/>
    </x:row>
    <x:row r="17">
      <x:c r="A17" s="30"/>
      <x:c r="B17" s="30"/>
      <x:c r="C17" s="30"/>
      <x:c r="D17" s="30" t="str">
        <x:f>IF(C17="","",LEN(C17))</x:f>
      </x:c>
      <x:c r="E17" s="30"/>
      <x:c r="F17" s="30" t="str">
        <x:f>IF(E17="","",LEN(E17))</x:f>
      </x:c>
      <x:c r="G17" s="30"/>
      <x:c r="H17" s="30"/>
      <x:c r="I17" s="30"/>
      <x:c r="J17" s="30"/>
    </x:row>
    <x:row r="18">
      <x:c r="A18" s="30"/>
      <x:c r="B18" s="30"/>
      <x:c r="C18" s="30"/>
      <x:c r="D18" s="30" t="str">
        <x:f>IF(C18="","",LEN(C18))</x:f>
      </x:c>
      <x:c r="E18" s="30"/>
      <x:c r="F18" s="30" t="str">
        <x:f>IF(E18="","",LEN(E18))</x:f>
      </x:c>
      <x:c r="G18" s="30"/>
      <x:c r="H18" s="30"/>
      <x:c r="I18" s="30"/>
      <x:c r="J18" s="30"/>
    </x:row>
    <x:row r="19">
      <x:c r="A19" s="30"/>
      <x:c r="B19" s="30"/>
      <x:c r="C19" s="30"/>
      <x:c r="D19" s="30" t="str">
        <x:f>IF(C19="","",LEN(C19))</x:f>
      </x:c>
      <x:c r="E19" s="30"/>
      <x:c r="F19" s="30" t="str">
        <x:f>IF(E19="","",LEN(E19))</x:f>
      </x:c>
      <x:c r="G19" s="30"/>
      <x:c r="H19" s="30"/>
      <x:c r="I19" s="30"/>
      <x:c r="J19" s="30"/>
    </x:row>
    <x:row r="20">
      <x:c r="A20" s="30"/>
      <x:c r="B20" s="30"/>
      <x:c r="C20" s="30"/>
      <x:c r="D20" s="30" t="str">
        <x:f>IF(C20="","",LEN(C20))</x:f>
      </x:c>
      <x:c r="E20" s="30"/>
      <x:c r="F20" s="30" t="str">
        <x:f>IF(E20="","",LEN(E20))</x:f>
      </x:c>
      <x:c r="G20" s="30"/>
      <x:c r="H20" s="30"/>
      <x:c r="I20" s="30"/>
      <x:c r="J20" s="30"/>
    </x:row>
    <x:row r="21">
      <x:c r="A21" s="30"/>
      <x:c r="B21" s="30"/>
      <x:c r="C21" s="30"/>
      <x:c r="D21" s="30" t="str">
        <x:f>IF(C21="","",LEN(C21))</x:f>
      </x:c>
      <x:c r="E21" s="30"/>
      <x:c r="F21" s="30" t="str">
        <x:f>IF(E21="","",LEN(E21))</x:f>
      </x:c>
      <x:c r="G21" s="30"/>
      <x:c r="H21" s="30"/>
      <x:c r="I21" s="30"/>
      <x:c r="J21" s="30"/>
    </x:row>
    <x:row r="22">
      <x:c r="A22" s="30"/>
      <x:c r="B22" s="30"/>
      <x:c r="C22" s="30"/>
      <x:c r="D22" s="30" t="str">
        <x:f>IF(C22="","",LEN(C22))</x:f>
      </x:c>
      <x:c r="E22" s="30"/>
      <x:c r="F22" s="30" t="str">
        <x:f>IF(E22="","",LEN(E22))</x:f>
      </x:c>
      <x:c r="G22" s="30"/>
      <x:c r="H22" s="30"/>
      <x:c r="I22" s="30"/>
      <x:c r="J22" s="30"/>
    </x:row>
    <x:row r="23">
      <x:c r="A23" s="30"/>
      <x:c r="B23" s="30"/>
      <x:c r="C23" s="30"/>
      <x:c r="D23" s="30" t="str">
        <x:f>IF(C23="","",LEN(C23))</x:f>
      </x:c>
      <x:c r="E23" s="30"/>
      <x:c r="F23" s="30" t="str">
        <x:f>IF(E23="","",LEN(E23))</x:f>
      </x:c>
      <x:c r="G23" s="30"/>
      <x:c r="H23" s="30"/>
      <x:c r="I23" s="30"/>
      <x:c r="J23" s="30"/>
    </x:row>
    <x:row r="24">
      <x:c r="A24" s="30"/>
      <x:c r="B24" s="30"/>
      <x:c r="C24" s="30"/>
      <x:c r="D24" s="30" t="str">
        <x:f>IF(C24="","",LEN(C24))</x:f>
      </x:c>
      <x:c r="E24" s="30"/>
      <x:c r="F24" s="30" t="str">
        <x:f>IF(E24="","",LEN(E24))</x:f>
      </x:c>
      <x:c r="G24" s="30"/>
      <x:c r="H24" s="30"/>
      <x:c r="I24" s="30"/>
      <x:c r="J24" s="30"/>
    </x:row>
    <x:row r="25">
      <x:c r="A25" s="30"/>
      <x:c r="B25" s="30"/>
      <x:c r="C25" s="30"/>
      <x:c r="D25" s="30" t="str">
        <x:f>IF(C25="","",LEN(C25))</x:f>
      </x:c>
      <x:c r="E25" s="30"/>
      <x:c r="F25" s="30" t="str">
        <x:f>IF(E25="","",LEN(E25))</x:f>
      </x:c>
      <x:c r="G25" s="30"/>
      <x:c r="H25" s="30"/>
      <x:c r="I25" s="30"/>
      <x:c r="J25" s="30"/>
    </x:row>
    <x:row r="26">
      <x:c r="A26" s="30"/>
      <x:c r="B26" s="30"/>
      <x:c r="C26" s="30"/>
      <x:c r="D26" s="30" t="str">
        <x:f>IF(C26="","",LEN(C26))</x:f>
      </x:c>
      <x:c r="E26" s="30"/>
      <x:c r="F26" s="30" t="str">
        <x:f>IF(E26="","",LEN(E26))</x:f>
      </x:c>
      <x:c r="G26" s="30"/>
      <x:c r="H26" s="30"/>
      <x:c r="I26" s="30"/>
      <x:c r="J26" s="30"/>
    </x:row>
    <x:row r="27">
      <x:c r="A27" s="30"/>
      <x:c r="B27" s="30"/>
      <x:c r="C27" s="30"/>
      <x:c r="D27" s="30" t="str">
        <x:f>IF(C27="","",LEN(C27))</x:f>
      </x:c>
      <x:c r="E27" s="30"/>
      <x:c r="F27" s="30" t="str">
        <x:f>IF(E27="","",LEN(E27))</x:f>
      </x:c>
      <x:c r="G27" s="30"/>
      <x:c r="H27" s="30"/>
      <x:c r="I27" s="30"/>
      <x:c r="J27" s="30"/>
    </x:row>
    <x:row r="28">
      <x:c r="A28" s="30"/>
      <x:c r="B28" s="30"/>
      <x:c r="C28" s="30"/>
      <x:c r="D28" s="30" t="str">
        <x:f>IF(C28="","",LEN(C28))</x:f>
      </x:c>
      <x:c r="E28" s="30"/>
      <x:c r="F28" s="30" t="str">
        <x:f>IF(E28="","",LEN(E28))</x:f>
      </x:c>
      <x:c r="G28" s="30"/>
      <x:c r="H28" s="30"/>
      <x:c r="I28" s="30"/>
      <x:c r="J28" s="30"/>
    </x:row>
    <x:row r="29">
      <x:c r="A29" s="30"/>
      <x:c r="B29" s="30"/>
      <x:c r="C29" s="30"/>
      <x:c r="D29" s="30" t="str">
        <x:f>IF(C29="","",LEN(C29))</x:f>
      </x:c>
      <x:c r="E29" s="30"/>
      <x:c r="F29" s="30" t="str">
        <x:f>IF(E29="","",LEN(E29))</x:f>
      </x:c>
      <x:c r="G29" s="30"/>
      <x:c r="H29" s="30"/>
      <x:c r="I29" s="30"/>
      <x:c r="J29" s="30"/>
    </x:row>
    <x:row r="30">
      <x:c r="A30" s="30"/>
      <x:c r="B30" s="30"/>
      <x:c r="C30" s="30"/>
      <x:c r="D30" s="30" t="str">
        <x:f>IF(C30="","",LEN(C30))</x:f>
      </x:c>
      <x:c r="E30" s="30"/>
      <x:c r="F30" s="30" t="str">
        <x:f>IF(E30="","",LEN(E30))</x:f>
      </x:c>
      <x:c r="G30" s="30"/>
      <x:c r="H30" s="30"/>
      <x:c r="I30" s="30"/>
      <x:c r="J30" s="30"/>
    </x:row>
    <x:row r="31">
      <x:c r="A31" s="30"/>
      <x:c r="B31" s="30"/>
      <x:c r="C31" s="30"/>
      <x:c r="D31" s="30" t="str">
        <x:f>IF(C31="","",LEN(C31))</x:f>
      </x:c>
      <x:c r="E31" s="30"/>
      <x:c r="F31" s="30" t="str">
        <x:f>IF(E31="","",LEN(E31))</x:f>
      </x:c>
      <x:c r="G31" s="30"/>
      <x:c r="H31" s="30"/>
      <x:c r="I31" s="30"/>
      <x:c r="J31" s="30"/>
    </x:row>
    <x:row r="32">
      <x:c r="A32" s="30"/>
      <x:c r="B32" s="30"/>
      <x:c r="C32" s="30"/>
      <x:c r="D32" s="30" t="str">
        <x:f>IF(C32="","",LEN(C32))</x:f>
      </x:c>
      <x:c r="E32" s="30"/>
      <x:c r="F32" s="30" t="str">
        <x:f>IF(E32="","",LEN(E32))</x:f>
      </x:c>
      <x:c r="G32" s="30"/>
      <x:c r="H32" s="30"/>
      <x:c r="I32" s="30"/>
      <x:c r="J32" s="30"/>
    </x:row>
    <x:row r="33">
      <x:c r="A33" s="30"/>
      <x:c r="B33" s="30"/>
      <x:c r="C33" s="30"/>
      <x:c r="D33" s="30" t="str">
        <x:f>IF(C33="","",LEN(C33))</x:f>
      </x:c>
      <x:c r="E33" s="30"/>
      <x:c r="F33" s="30" t="str">
        <x:f>IF(E33="","",LEN(E33))</x:f>
      </x:c>
      <x:c r="G33" s="30"/>
      <x:c r="H33" s="30"/>
      <x:c r="I33" s="30"/>
      <x:c r="J33" s="30"/>
    </x:row>
    <x:row r="34">
      <x:c r="A34" s="30"/>
      <x:c r="B34" s="30"/>
      <x:c r="C34" s="30"/>
      <x:c r="D34" s="30" t="str">
        <x:f>IF(C34="","",LEN(C34))</x:f>
      </x:c>
      <x:c r="E34" s="30"/>
      <x:c r="F34" s="30" t="str">
        <x:f>IF(E34="","",LEN(E34))</x:f>
      </x:c>
      <x:c r="G34" s="30"/>
      <x:c r="H34" s="30"/>
      <x:c r="I34" s="30"/>
      <x:c r="J34" s="30"/>
    </x:row>
    <x:row r="35">
      <x:c r="A35" s="30"/>
      <x:c r="B35" s="30"/>
      <x:c r="C35" s="30"/>
      <x:c r="D35" s="30" t="str">
        <x:f>IF(C35="","",LEN(C35))</x:f>
      </x:c>
      <x:c r="E35" s="30"/>
      <x:c r="F35" s="30" t="str">
        <x:f>IF(E35="","",LEN(E35))</x:f>
      </x:c>
      <x:c r="G35" s="30"/>
      <x:c r="H35" s="30"/>
      <x:c r="I35" s="30"/>
      <x:c r="J35" s="30"/>
    </x:row>
    <x:row r="36">
      <x:c r="A36" s="30"/>
      <x:c r="B36" s="30"/>
      <x:c r="C36" s="30"/>
      <x:c r="D36" s="30" t="str">
        <x:f>IF(C36="","",LEN(C36))</x:f>
      </x:c>
      <x:c r="E36" s="30"/>
      <x:c r="F36" s="30" t="str">
        <x:f>IF(E36="","",LEN(E36))</x:f>
      </x:c>
      <x:c r="G36" s="30"/>
      <x:c r="H36" s="30"/>
      <x:c r="I36" s="30"/>
      <x:c r="J36" s="30"/>
    </x:row>
    <x:row r="37">
      <x:c r="A37" s="30"/>
      <x:c r="B37" s="30"/>
      <x:c r="C37" s="30"/>
      <x:c r="D37" s="30" t="str">
        <x:f>IF(C37="","",LEN(C37))</x:f>
      </x:c>
      <x:c r="E37" s="30"/>
      <x:c r="F37" s="30" t="str">
        <x:f>IF(E37="","",LEN(E37))</x:f>
      </x:c>
      <x:c r="G37" s="30"/>
      <x:c r="H37" s="30"/>
      <x:c r="I37" s="30"/>
      <x:c r="J37" s="30"/>
    </x:row>
    <x:row r="38">
      <x:c r="A38" s="30"/>
      <x:c r="B38" s="30"/>
      <x:c r="C38" s="30"/>
      <x:c r="D38" s="30" t="str">
        <x:f>IF(C38="","",LEN(C38))</x:f>
      </x:c>
      <x:c r="E38" s="30"/>
      <x:c r="F38" s="30" t="str">
        <x:f>IF(E38="","",LEN(E38))</x:f>
      </x:c>
      <x:c r="G38" s="30"/>
      <x:c r="H38" s="30"/>
      <x:c r="I38" s="30"/>
      <x:c r="J38" s="30"/>
    </x:row>
    <x:row r="39">
      <x:c r="A39" s="30"/>
      <x:c r="B39" s="30"/>
      <x:c r="C39" s="30"/>
      <x:c r="D39" s="30" t="str">
        <x:f>IF(C39="","",LEN(C39))</x:f>
      </x:c>
      <x:c r="E39" s="30"/>
      <x:c r="F39" s="30" t="str">
        <x:f>IF(E39="","",LEN(E39))</x:f>
      </x:c>
      <x:c r="G39" s="30"/>
      <x:c r="H39" s="30"/>
      <x:c r="I39" s="30"/>
      <x:c r="J39" s="30"/>
    </x:row>
    <x:row r="40">
      <x:c r="A40" s="30"/>
      <x:c r="B40" s="30"/>
      <x:c r="C40" s="30"/>
      <x:c r="D40" s="30" t="str">
        <x:f>IF(C40="","",LEN(C40))</x:f>
      </x:c>
      <x:c r="E40" s="30"/>
      <x:c r="F40" s="30" t="str">
        <x:f>IF(E40="","",LEN(E40))</x:f>
      </x:c>
      <x:c r="G40" s="30"/>
      <x:c r="H40" s="30"/>
      <x:c r="I40" s="30"/>
      <x:c r="J40" s="30"/>
    </x:row>
    <x:row r="41">
      <x:c r="A41" s="30"/>
      <x:c r="B41" s="30"/>
      <x:c r="C41" s="30"/>
      <x:c r="D41" s="30" t="str">
        <x:f>IF(C41="","",LEN(C41))</x:f>
      </x:c>
      <x:c r="E41" s="30"/>
      <x:c r="F41" s="30" t="str">
        <x:f>IF(E41="","",LEN(E41))</x:f>
      </x:c>
      <x:c r="G41" s="30"/>
      <x:c r="H41" s="30"/>
      <x:c r="I41" s="30"/>
      <x:c r="J41" s="30"/>
    </x:row>
    <x:row r="42">
      <x:c r="A42" s="30"/>
      <x:c r="B42" s="30"/>
      <x:c r="C42" s="30"/>
      <x:c r="D42" s="30" t="str">
        <x:f>IF(C42="","",LEN(C42))</x:f>
      </x:c>
      <x:c r="E42" s="30"/>
      <x:c r="F42" s="30" t="str">
        <x:f>IF(E42="","",LEN(E42))</x:f>
      </x:c>
      <x:c r="G42" s="30"/>
      <x:c r="H42" s="30"/>
      <x:c r="I42" s="30"/>
      <x:c r="J42" s="30"/>
    </x:row>
    <x:row r="43">
      <x:c r="A43" s="30"/>
      <x:c r="B43" s="30"/>
      <x:c r="C43" s="30"/>
      <x:c r="D43" s="30" t="str">
        <x:f>IF(C43="","",LEN(C43))</x:f>
      </x:c>
      <x:c r="E43" s="30"/>
      <x:c r="F43" s="30" t="str">
        <x:f>IF(E43="","",LEN(E43))</x:f>
      </x:c>
      <x:c r="G43" s="30"/>
      <x:c r="H43" s="30"/>
      <x:c r="I43" s="30"/>
      <x:c r="J43" s="30"/>
    </x:row>
    <x:row r="44">
      <x:c r="A44" s="30"/>
      <x:c r="B44" s="30"/>
      <x:c r="C44" s="30"/>
      <x:c r="D44" s="30" t="str">
        <x:f>IF(C44="","",LEN(C44))</x:f>
      </x:c>
      <x:c r="E44" s="30"/>
      <x:c r="F44" s="30" t="str">
        <x:f>IF(E44="","",LEN(E44))</x:f>
      </x:c>
      <x:c r="G44" s="30"/>
      <x:c r="H44" s="30"/>
      <x:c r="I44" s="30"/>
      <x:c r="J44" s="30"/>
    </x:row>
    <x:row r="45">
      <x:c r="A45" s="30"/>
      <x:c r="B45" s="30"/>
      <x:c r="C45" s="30"/>
      <x:c r="D45" s="30" t="str">
        <x:f>IF(C45="","",LEN(C45))</x:f>
      </x:c>
      <x:c r="E45" s="30"/>
      <x:c r="F45" s="30" t="str">
        <x:f>IF(E45="","",LEN(E45))</x:f>
      </x:c>
      <x:c r="G45" s="30"/>
      <x:c r="H45" s="30"/>
      <x:c r="I45" s="30"/>
      <x:c r="J45" s="30"/>
    </x:row>
    <x:row r="46">
      <x:c r="A46" s="30"/>
      <x:c r="B46" s="30"/>
      <x:c r="C46" s="30"/>
      <x:c r="D46" s="30" t="str">
        <x:f>IF(C46="","",LEN(C46))</x:f>
      </x:c>
      <x:c r="E46" s="30"/>
      <x:c r="F46" s="30" t="str">
        <x:f>IF(E46="","",LEN(E46))</x:f>
      </x:c>
      <x:c r="G46" s="30"/>
      <x:c r="H46" s="30"/>
      <x:c r="I46" s="30"/>
      <x:c r="J46" s="30"/>
    </x:row>
    <x:row r="47">
      <x:c r="A47" s="30"/>
      <x:c r="B47" s="30"/>
      <x:c r="C47" s="30"/>
      <x:c r="D47" s="30" t="str">
        <x:f>IF(C47="","",LEN(C47))</x:f>
      </x:c>
      <x:c r="E47" s="30"/>
      <x:c r="F47" s="30" t="str">
        <x:f>IF(E47="","",LEN(E47))</x:f>
      </x:c>
      <x:c r="G47" s="30"/>
      <x:c r="H47" s="30"/>
      <x:c r="I47" s="30"/>
      <x:c r="J47" s="30"/>
    </x:row>
    <x:row r="48">
      <x:c r="A48" s="30"/>
      <x:c r="B48" s="30"/>
      <x:c r="C48" s="30"/>
      <x:c r="D48" s="30" t="str">
        <x:f>IF(C48="","",LEN(C48))</x:f>
      </x:c>
      <x:c r="E48" s="30"/>
      <x:c r="F48" s="30" t="str">
        <x:f>IF(E48="","",LEN(E48))</x:f>
      </x:c>
      <x:c r="G48" s="30"/>
      <x:c r="H48" s="30"/>
      <x:c r="I48" s="30"/>
      <x:c r="J48" s="30"/>
    </x:row>
    <x:row r="49">
      <x:c r="A49" s="30"/>
      <x:c r="B49" s="30"/>
      <x:c r="C49" s="30"/>
      <x:c r="D49" s="30" t="str">
        <x:f>IF(C49="","",LEN(C49))</x:f>
      </x:c>
      <x:c r="E49" s="30"/>
      <x:c r="F49" s="30" t="str">
        <x:f>IF(E49="","",LEN(E49))</x:f>
      </x:c>
      <x:c r="G49" s="30"/>
      <x:c r="H49" s="30"/>
      <x:c r="I49" s="30"/>
      <x:c r="J49" s="30"/>
    </x:row>
    <x:row r="50">
      <x:c r="A50" s="30"/>
      <x:c r="B50" s="30"/>
      <x:c r="C50" s="30"/>
      <x:c r="D50" s="30" t="str">
        <x:f>IF(C50="","",LEN(C50))</x:f>
      </x:c>
      <x:c r="E50" s="30"/>
      <x:c r="F50" s="30" t="str">
        <x:f>IF(E50="","",LEN(E50))</x:f>
      </x:c>
      <x:c r="G50" s="30"/>
      <x:c r="H50" s="30"/>
      <x:c r="I50" s="30"/>
      <x:c r="J50" s="30"/>
    </x:row>
    <x:row r="51">
      <x:c r="A51" s="30"/>
      <x:c r="B51" s="30"/>
      <x:c r="C51" s="30"/>
      <x:c r="D51" s="30" t="str">
        <x:f>IF(C51="","",LEN(C51))</x:f>
      </x:c>
      <x:c r="E51" s="30"/>
      <x:c r="F51" s="30" t="str">
        <x:f>IF(E51="","",LEN(E51))</x:f>
      </x:c>
      <x:c r="G51" s="30"/>
      <x:c r="H51" s="30"/>
      <x:c r="I51" s="30"/>
      <x:c r="J51" s="30"/>
    </x:row>
    <x:row r="52">
      <x:c r="A52" s="30"/>
      <x:c r="B52" s="30"/>
      <x:c r="C52" s="30"/>
      <x:c r="D52" s="30" t="str">
        <x:f>IF(C52="","",LEN(C52))</x:f>
      </x:c>
      <x:c r="E52" s="30"/>
      <x:c r="F52" s="30" t="str">
        <x:f>IF(E52="","",LEN(E52))</x:f>
      </x:c>
      <x:c r="G52" s="30"/>
      <x:c r="H52" s="30"/>
      <x:c r="I52" s="30"/>
      <x:c r="J52" s="30"/>
    </x:row>
    <x:row r="53">
      <x:c r="A53" s="30"/>
      <x:c r="B53" s="30"/>
      <x:c r="C53" s="30"/>
      <x:c r="D53" s="30" t="str">
        <x:f>IF(C53="","",LEN(C53))</x:f>
      </x:c>
      <x:c r="E53" s="30"/>
      <x:c r="F53" s="30" t="str">
        <x:f>IF(E53="","",LEN(E53))</x:f>
      </x:c>
      <x:c r="G53" s="30"/>
      <x:c r="H53" s="30"/>
      <x:c r="I53" s="30"/>
      <x:c r="J53" s="30"/>
    </x:row>
    <x:row r="54">
      <x:c r="A54" s="30"/>
      <x:c r="B54" s="30"/>
      <x:c r="C54" s="30"/>
      <x:c r="D54" s="30" t="str">
        <x:f>IF(C54="","",LEN(C54))</x:f>
      </x:c>
      <x:c r="E54" s="30"/>
      <x:c r="F54" s="30" t="str">
        <x:f>IF(E54="","",LEN(E54))</x:f>
      </x:c>
      <x:c r="G54" s="30"/>
      <x:c r="H54" s="30"/>
      <x:c r="I54" s="30"/>
      <x:c r="J54" s="30"/>
    </x:row>
    <x:row r="55">
      <x:c r="A55" s="30"/>
      <x:c r="B55" s="30"/>
      <x:c r="C55" s="30"/>
      <x:c r="D55" s="30" t="str">
        <x:f>IF(C55="","",LEN(C55))</x:f>
      </x:c>
      <x:c r="E55" s="30"/>
      <x:c r="F55" s="30" t="str">
        <x:f>IF(E55="","",LEN(E55))</x:f>
      </x:c>
      <x:c r="G55" s="30"/>
      <x:c r="H55" s="30"/>
      <x:c r="I55" s="30"/>
      <x:c r="J55" s="30"/>
    </x:row>
    <x:row r="56">
      <x:c r="A56" s="30"/>
      <x:c r="B56" s="30"/>
      <x:c r="C56" s="30"/>
      <x:c r="D56" s="30" t="str">
        <x:f>IF(C56="","",LEN(C56))</x:f>
      </x:c>
      <x:c r="E56" s="30"/>
      <x:c r="F56" s="30" t="str">
        <x:f>IF(E56="","",LEN(E56))</x:f>
      </x:c>
      <x:c r="G56" s="30"/>
      <x:c r="H56" s="30"/>
      <x:c r="I56" s="30"/>
      <x:c r="J56" s="30"/>
    </x:row>
    <x:row r="57">
      <x:c r="A57" s="30"/>
      <x:c r="B57" s="30"/>
      <x:c r="C57" s="30"/>
      <x:c r="D57" s="30" t="str">
        <x:f>IF(C57="","",LEN(C57))</x:f>
      </x:c>
      <x:c r="E57" s="30"/>
      <x:c r="F57" s="30" t="str">
        <x:f>IF(E57="","",LEN(E57))</x:f>
      </x:c>
      <x:c r="G57" s="30"/>
      <x:c r="H57" s="30"/>
      <x:c r="I57" s="30"/>
      <x:c r="J57" s="30"/>
    </x:row>
    <x:row r="58">
      <x:c r="A58" s="30"/>
      <x:c r="B58" s="30"/>
      <x:c r="C58" s="30"/>
      <x:c r="D58" s="30" t="str">
        <x:f>IF(C58="","",LEN(C58))</x:f>
      </x:c>
      <x:c r="E58" s="30"/>
      <x:c r="F58" s="30" t="str">
        <x:f>IF(E58="","",LEN(E58))</x:f>
      </x:c>
      <x:c r="G58" s="30"/>
      <x:c r="H58" s="30"/>
      <x:c r="I58" s="30"/>
      <x:c r="J58" s="30"/>
    </x:row>
    <x:row r="59">
      <x:c r="A59" s="30"/>
      <x:c r="B59" s="30"/>
      <x:c r="C59" s="30"/>
      <x:c r="D59" s="30" t="str">
        <x:f>IF(C59="","",LEN(C59))</x:f>
      </x:c>
      <x:c r="E59" s="30"/>
      <x:c r="F59" s="30" t="str">
        <x:f>IF(E59="","",LEN(E59))</x:f>
      </x:c>
      <x:c r="G59" s="30"/>
      <x:c r="H59" s="30"/>
      <x:c r="I59" s="30"/>
      <x:c r="J59" s="30"/>
    </x:row>
    <x:row r="60">
      <x:c r="A60" s="30"/>
      <x:c r="B60" s="30"/>
      <x:c r="C60" s="30"/>
      <x:c r="D60" s="30" t="str">
        <x:f>IF(C60="","",LEN(C60))</x:f>
      </x:c>
      <x:c r="E60" s="30"/>
      <x:c r="F60" s="30" t="str">
        <x:f>IF(E60="","",LEN(E60))</x:f>
      </x:c>
      <x:c r="G60" s="30"/>
      <x:c r="H60" s="30"/>
      <x:c r="I60" s="30"/>
      <x:c r="J60" s="30"/>
    </x:row>
  </x:sheetData>
  <x:mergeCells>
    <x:mergeCell ref="A1:H2"/>
    <x:mergeCell ref="A3:H3"/>
  </x:mergeCells>
  <x:conditionalFormatting sqref="D7:D60">
    <x:cfRule type="cellIs" dxfId="110" priority="1" operator="greaterThan">
      <x:formula>60</x:formula>
    </x:cfRule>
  </x:conditionalFormatting>
  <x:conditionalFormatting sqref="F7:F60">
    <x:cfRule type="cellIs" dxfId="111" priority="2" operator="greaterThan">
      <x:formula>160</x:formula>
    </x:cfRule>
  </x:conditionalFormatting>
  <x:conditionalFormatting sqref="J7:J60">
    <x:cfRule type="expression" dxfId="112" priority="3">
      <x:formula>J7="ACEITO"</x:formula>
    </x:cfRule>
    <x:cfRule type="expression" dxfId="113" priority="4">
      <x:formula>J7="PUBLICADO"</x:formula>
    </x:cfRule>
    <x:cfRule type="expression" dxfId="114" priority="5">
      <x:formula>J7="EM PRODUÇÃO"</x:formula>
    </x:cfRule>
    <x:cfRule type="expression" dxfId="115" priority="6">
      <x:formula>J7="ARGUMENTAÇÃO"</x:formula>
    </x:cfRule>
    <x:cfRule type="expression" dxfId="116" priority="7">
      <x:formula>J7="PESQUISA"</x:formula>
    </x:cfRule>
    <x:cfRule type="expression" dxfId="117" priority="8">
      <x:formula>J7="EM REVISÃO"</x:formula>
    </x:cfRule>
    <x:cfRule type="expression" dxfId="118" priority="9">
      <x:formula>J7="EM RISCO"</x:formula>
    </x:cfRule>
    <x:cfRule type="expression" dxfId="119" priority="10">
      <x:formula>J7="BLOQUEADO"</x:formula>
    </x:cfRule>
    <x:cfRule type="expression" dxfId="120" priority="11">
      <x:formula>J7="RASCUNHO"</x:formula>
    </x:cfRule>
    <x:cfRule type="expression" dxfId="121" priority="12">
      <x:formula>J7="PLANEJADO"</x:formula>
    </x:cfRule>
    <x:cfRule type="expression" dxfId="122" priority="13">
      <x:formula>J7="TRIAGEM"</x:formula>
    </x:cfRule>
  </x:conditionalFormatting>
  <x:dataValidations count="1">
    <x:dataValidation type="list" sqref="J7:J60">
      <x:formula1>'19_CONFIG_LISTAS'!$A$7:$A$23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34" hidden="0" customWidth="1"/>
    <x:col min="6" max="6" width="14" hidden="0" customWidth="1"/>
    <x:col min="7" max="7" width="14" hidden="0" customWidth="1"/>
    <x:col min="8" max="8" width="18" hidden="0" customWidth="1"/>
    <x:col min="9" max="9" width="22" hidden="0" customWidth="1"/>
    <x:col min="10" max="10" width="18" hidden="0" customWidth="1"/>
    <x:col min="11" max="11" width="44" hidden="0" customWidth="1"/>
    <x:col min="12" max="12" width="30" hidden="0" customWidth="1"/>
  </x:cols>
  <x:sheetData>
    <x:row r="1">
      <x:c r="A1" s="4" t="str">
        <x:v>CALENDÁRIO DE PUBLICAÇÃO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Prazo original e previsão atual ficam separados; publicação só fecha com URL.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Publication_ID</x:v>
      </x:c>
      <x:c r="B6" s="23" t="str">
        <x:v>Content_ID</x:v>
      </x:c>
      <x:c r="C6" s="23" t="str">
        <x:v>Asset_ID</x:v>
      </x:c>
      <x:c r="D6" s="23" t="str">
        <x:v>Canal</x:v>
      </x:c>
      <x:c r="E6" s="23" t="str">
        <x:v>Peça</x:v>
      </x:c>
      <x:c r="F6" s="23" t="str">
        <x:v>Prazo original</x:v>
      </x:c>
      <x:c r="G6" s="23" t="str">
        <x:v>Previsão atual</x:v>
      </x:c>
      <x:c r="H6" s="23" t="str">
        <x:v>Status</x:v>
      </x:c>
      <x:c r="I6" s="23" t="str">
        <x:v>Owner</x:v>
      </x:c>
      <x:c r="J6" s="23" t="str">
        <x:v>Publicado em</x:v>
      </x:c>
      <x:c r="K6" s="23" t="str">
        <x:v>URL final</x:v>
      </x:c>
      <x:c r="L6" s="23" t="str">
        <x:v>Notas</x:v>
      </x:c>
    </x:row>
    <x:row r="7">
      <x:c r="A7" s="30" t="str"/>
      <x:c r="B7" s="30" t="str"/>
      <x:c r="C7" s="30" t="str"/>
      <x:c r="D7" s="30" t="str"/>
      <x:c r="E7" s="30" t="str"/>
      <x:c r="F7" s="34"/>
      <x:c r="G7" s="34"/>
      <x:c r="H7" s="30" t="str">
        <x:v>PLANEJADO</x:v>
      </x:c>
      <x:c r="I7" s="30" t="str">
        <x:v>Não determinado</x:v>
      </x:c>
      <x:c r="J7" s="34"/>
      <x:c r="K7" s="30" t="str"/>
      <x:c r="L7" s="30" t="str"/>
    </x:row>
    <x:row r="8">
      <x:c r="A8" s="30"/>
      <x:c r="B8" s="30"/>
      <x:c r="C8" s="30"/>
      <x:c r="D8" s="30"/>
      <x:c r="E8" s="30"/>
      <x:c r="F8" s="34"/>
      <x:c r="G8" s="34"/>
      <x:c r="H8" s="30"/>
      <x:c r="I8" s="30"/>
      <x:c r="J8" s="34"/>
      <x:c r="K8" s="30"/>
      <x:c r="L8" s="30"/>
    </x:row>
    <x:row r="9">
      <x:c r="A9" s="30"/>
      <x:c r="B9" s="30"/>
      <x:c r="C9" s="30"/>
      <x:c r="D9" s="30"/>
      <x:c r="E9" s="30"/>
      <x:c r="F9" s="34"/>
      <x:c r="G9" s="34"/>
      <x:c r="H9" s="30"/>
      <x:c r="I9" s="30"/>
      <x:c r="J9" s="34"/>
      <x:c r="K9" s="30"/>
      <x:c r="L9" s="30"/>
    </x:row>
    <x:row r="10">
      <x:c r="A10" s="30"/>
      <x:c r="B10" s="30"/>
      <x:c r="C10" s="30"/>
      <x:c r="D10" s="30"/>
      <x:c r="E10" s="30"/>
      <x:c r="F10" s="34"/>
      <x:c r="G10" s="34"/>
      <x:c r="H10" s="30"/>
      <x:c r="I10" s="30"/>
      <x:c r="J10" s="34"/>
      <x:c r="K10" s="30"/>
      <x:c r="L10" s="30"/>
    </x:row>
    <x:row r="11">
      <x:c r="A11" s="30"/>
      <x:c r="B11" s="30"/>
      <x:c r="C11" s="30"/>
      <x:c r="D11" s="30"/>
      <x:c r="E11" s="30"/>
      <x:c r="F11" s="34"/>
      <x:c r="G11" s="34"/>
      <x:c r="H11" s="30"/>
      <x:c r="I11" s="30"/>
      <x:c r="J11" s="34"/>
      <x:c r="K11" s="30"/>
      <x:c r="L11" s="30"/>
    </x:row>
    <x:row r="12">
      <x:c r="A12" s="30"/>
      <x:c r="B12" s="30"/>
      <x:c r="C12" s="30"/>
      <x:c r="D12" s="30"/>
      <x:c r="E12" s="30"/>
      <x:c r="F12" s="34"/>
      <x:c r="G12" s="34"/>
      <x:c r="H12" s="30"/>
      <x:c r="I12" s="30"/>
      <x:c r="J12" s="34"/>
      <x:c r="K12" s="30"/>
      <x:c r="L12" s="30"/>
    </x:row>
    <x:row r="13">
      <x:c r="A13" s="30"/>
      <x:c r="B13" s="30"/>
      <x:c r="C13" s="30"/>
      <x:c r="D13" s="30"/>
      <x:c r="E13" s="30"/>
      <x:c r="F13" s="34"/>
      <x:c r="G13" s="34"/>
      <x:c r="H13" s="30"/>
      <x:c r="I13" s="30"/>
      <x:c r="J13" s="34"/>
      <x:c r="K13" s="30"/>
      <x:c r="L13" s="30"/>
    </x:row>
    <x:row r="14">
      <x:c r="A14" s="30"/>
      <x:c r="B14" s="30"/>
      <x:c r="C14" s="30"/>
      <x:c r="D14" s="30"/>
      <x:c r="E14" s="30"/>
      <x:c r="F14" s="34"/>
      <x:c r="G14" s="34"/>
      <x:c r="H14" s="30"/>
      <x:c r="I14" s="30"/>
      <x:c r="J14" s="34"/>
      <x:c r="K14" s="30"/>
      <x:c r="L14" s="30"/>
    </x:row>
    <x:row r="15">
      <x:c r="A15" s="30"/>
      <x:c r="B15" s="30"/>
      <x:c r="C15" s="30"/>
      <x:c r="D15" s="30"/>
      <x:c r="E15" s="30"/>
      <x:c r="F15" s="34"/>
      <x:c r="G15" s="34"/>
      <x:c r="H15" s="30"/>
      <x:c r="I15" s="30"/>
      <x:c r="J15" s="34"/>
      <x:c r="K15" s="30"/>
      <x:c r="L15" s="30"/>
    </x:row>
    <x:row r="16">
      <x:c r="A16" s="30"/>
      <x:c r="B16" s="30"/>
      <x:c r="C16" s="30"/>
      <x:c r="D16" s="30"/>
      <x:c r="E16" s="30"/>
      <x:c r="F16" s="34"/>
      <x:c r="G16" s="34"/>
      <x:c r="H16" s="30"/>
      <x:c r="I16" s="30"/>
      <x:c r="J16" s="34"/>
      <x:c r="K16" s="30"/>
      <x:c r="L16" s="30"/>
    </x:row>
    <x:row r="17">
      <x:c r="A17" s="30"/>
      <x:c r="B17" s="30"/>
      <x:c r="C17" s="30"/>
      <x:c r="D17" s="30"/>
      <x:c r="E17" s="30"/>
      <x:c r="F17" s="34"/>
      <x:c r="G17" s="34"/>
      <x:c r="H17" s="30"/>
      <x:c r="I17" s="30"/>
      <x:c r="J17" s="34"/>
      <x:c r="K17" s="30"/>
      <x:c r="L17" s="30"/>
    </x:row>
    <x:row r="18">
      <x:c r="A18" s="30"/>
      <x:c r="B18" s="30"/>
      <x:c r="C18" s="30"/>
      <x:c r="D18" s="30"/>
      <x:c r="E18" s="30"/>
      <x:c r="F18" s="34"/>
      <x:c r="G18" s="34"/>
      <x:c r="H18" s="30"/>
      <x:c r="I18" s="30"/>
      <x:c r="J18" s="34"/>
      <x:c r="K18" s="30"/>
      <x:c r="L18" s="30"/>
    </x:row>
    <x:row r="19">
      <x:c r="A19" s="30"/>
      <x:c r="B19" s="30"/>
      <x:c r="C19" s="30"/>
      <x:c r="D19" s="30"/>
      <x:c r="E19" s="30"/>
      <x:c r="F19" s="34"/>
      <x:c r="G19" s="34"/>
      <x:c r="H19" s="30"/>
      <x:c r="I19" s="30"/>
      <x:c r="J19" s="34"/>
      <x:c r="K19" s="30"/>
      <x:c r="L19" s="30"/>
    </x:row>
    <x:row r="20">
      <x:c r="A20" s="30"/>
      <x:c r="B20" s="30"/>
      <x:c r="C20" s="30"/>
      <x:c r="D20" s="30"/>
      <x:c r="E20" s="30"/>
      <x:c r="F20" s="34"/>
      <x:c r="G20" s="34"/>
      <x:c r="H20" s="30"/>
      <x:c r="I20" s="30"/>
      <x:c r="J20" s="34"/>
      <x:c r="K20" s="30"/>
      <x:c r="L20" s="30"/>
    </x:row>
    <x:row r="21">
      <x:c r="A21" s="30"/>
      <x:c r="B21" s="30"/>
      <x:c r="C21" s="30"/>
      <x:c r="D21" s="30"/>
      <x:c r="E21" s="30"/>
      <x:c r="F21" s="34"/>
      <x:c r="G21" s="34"/>
      <x:c r="H21" s="30"/>
      <x:c r="I21" s="30"/>
      <x:c r="J21" s="34"/>
      <x:c r="K21" s="30"/>
      <x:c r="L21" s="30"/>
    </x:row>
    <x:row r="22">
      <x:c r="A22" s="30"/>
      <x:c r="B22" s="30"/>
      <x:c r="C22" s="30"/>
      <x:c r="D22" s="30"/>
      <x:c r="E22" s="30"/>
      <x:c r="F22" s="34"/>
      <x:c r="G22" s="34"/>
      <x:c r="H22" s="30"/>
      <x:c r="I22" s="30"/>
      <x:c r="J22" s="34"/>
      <x:c r="K22" s="30"/>
      <x:c r="L22" s="30"/>
    </x:row>
    <x:row r="23">
      <x:c r="A23" s="30"/>
      <x:c r="B23" s="30"/>
      <x:c r="C23" s="30"/>
      <x:c r="D23" s="30"/>
      <x:c r="E23" s="30"/>
      <x:c r="F23" s="34"/>
      <x:c r="G23" s="34"/>
      <x:c r="H23" s="30"/>
      <x:c r="I23" s="30"/>
      <x:c r="J23" s="34"/>
      <x:c r="K23" s="30"/>
      <x:c r="L23" s="30"/>
    </x:row>
    <x:row r="24">
      <x:c r="A24" s="30"/>
      <x:c r="B24" s="30"/>
      <x:c r="C24" s="30"/>
      <x:c r="D24" s="30"/>
      <x:c r="E24" s="30"/>
      <x:c r="F24" s="34"/>
      <x:c r="G24" s="34"/>
      <x:c r="H24" s="30"/>
      <x:c r="I24" s="30"/>
      <x:c r="J24" s="34"/>
      <x:c r="K24" s="30"/>
      <x:c r="L24" s="30"/>
    </x:row>
    <x:row r="25">
      <x:c r="A25" s="30"/>
      <x:c r="B25" s="30"/>
      <x:c r="C25" s="30"/>
      <x:c r="D25" s="30"/>
      <x:c r="E25" s="30"/>
      <x:c r="F25" s="34"/>
      <x:c r="G25" s="34"/>
      <x:c r="H25" s="30"/>
      <x:c r="I25" s="30"/>
      <x:c r="J25" s="34"/>
      <x:c r="K25" s="30"/>
      <x:c r="L25" s="30"/>
    </x:row>
    <x:row r="26">
      <x:c r="A26" s="30"/>
      <x:c r="B26" s="30"/>
      <x:c r="C26" s="30"/>
      <x:c r="D26" s="30"/>
      <x:c r="E26" s="30"/>
      <x:c r="F26" s="34"/>
      <x:c r="G26" s="34"/>
      <x:c r="H26" s="30"/>
      <x:c r="I26" s="30"/>
      <x:c r="J26" s="34"/>
      <x:c r="K26" s="30"/>
      <x:c r="L26" s="30"/>
    </x:row>
    <x:row r="27">
      <x:c r="A27" s="30"/>
      <x:c r="B27" s="30"/>
      <x:c r="C27" s="30"/>
      <x:c r="D27" s="30"/>
      <x:c r="E27" s="30"/>
      <x:c r="F27" s="34"/>
      <x:c r="G27" s="34"/>
      <x:c r="H27" s="30"/>
      <x:c r="I27" s="30"/>
      <x:c r="J27" s="34"/>
      <x:c r="K27" s="30"/>
      <x:c r="L27" s="30"/>
    </x:row>
    <x:row r="28">
      <x:c r="A28" s="30"/>
      <x:c r="B28" s="30"/>
      <x:c r="C28" s="30"/>
      <x:c r="D28" s="30"/>
      <x:c r="E28" s="30"/>
      <x:c r="F28" s="34"/>
      <x:c r="G28" s="34"/>
      <x:c r="H28" s="30"/>
      <x:c r="I28" s="30"/>
      <x:c r="J28" s="34"/>
      <x:c r="K28" s="30"/>
      <x:c r="L28" s="30"/>
    </x:row>
    <x:row r="29">
      <x:c r="A29" s="30"/>
      <x:c r="B29" s="30"/>
      <x:c r="C29" s="30"/>
      <x:c r="D29" s="30"/>
      <x:c r="E29" s="30"/>
      <x:c r="F29" s="34"/>
      <x:c r="G29" s="34"/>
      <x:c r="H29" s="30"/>
      <x:c r="I29" s="30"/>
      <x:c r="J29" s="34"/>
      <x:c r="K29" s="30"/>
      <x:c r="L29" s="30"/>
    </x:row>
    <x:row r="30">
      <x:c r="A30" s="30"/>
      <x:c r="B30" s="30"/>
      <x:c r="C30" s="30"/>
      <x:c r="D30" s="30"/>
      <x:c r="E30" s="30"/>
      <x:c r="F30" s="34"/>
      <x:c r="G30" s="34"/>
      <x:c r="H30" s="30"/>
      <x:c r="I30" s="30"/>
      <x:c r="J30" s="34"/>
      <x:c r="K30" s="30"/>
      <x:c r="L30" s="30"/>
    </x:row>
    <x:row r="31">
      <x:c r="A31" s="30"/>
      <x:c r="B31" s="30"/>
      <x:c r="C31" s="30"/>
      <x:c r="D31" s="30"/>
      <x:c r="E31" s="30"/>
      <x:c r="F31" s="34"/>
      <x:c r="G31" s="34"/>
      <x:c r="H31" s="30"/>
      <x:c r="I31" s="30"/>
      <x:c r="J31" s="34"/>
      <x:c r="K31" s="30"/>
      <x:c r="L31" s="30"/>
    </x:row>
    <x:row r="32">
      <x:c r="A32" s="30"/>
      <x:c r="B32" s="30"/>
      <x:c r="C32" s="30"/>
      <x:c r="D32" s="30"/>
      <x:c r="E32" s="30"/>
      <x:c r="F32" s="34"/>
      <x:c r="G32" s="34"/>
      <x:c r="H32" s="30"/>
      <x:c r="I32" s="30"/>
      <x:c r="J32" s="34"/>
      <x:c r="K32" s="30"/>
      <x:c r="L32" s="30"/>
    </x:row>
    <x:row r="33">
      <x:c r="A33" s="30"/>
      <x:c r="B33" s="30"/>
      <x:c r="C33" s="30"/>
      <x:c r="D33" s="30"/>
      <x:c r="E33" s="30"/>
      <x:c r="F33" s="34"/>
      <x:c r="G33" s="34"/>
      <x:c r="H33" s="30"/>
      <x:c r="I33" s="30"/>
      <x:c r="J33" s="34"/>
      <x:c r="K33" s="30"/>
      <x:c r="L33" s="30"/>
    </x:row>
    <x:row r="34">
      <x:c r="A34" s="30"/>
      <x:c r="B34" s="30"/>
      <x:c r="C34" s="30"/>
      <x:c r="D34" s="30"/>
      <x:c r="E34" s="30"/>
      <x:c r="F34" s="34"/>
      <x:c r="G34" s="34"/>
      <x:c r="H34" s="30"/>
      <x:c r="I34" s="30"/>
      <x:c r="J34" s="34"/>
      <x:c r="K34" s="30"/>
      <x:c r="L34" s="30"/>
    </x:row>
    <x:row r="35">
      <x:c r="A35" s="30"/>
      <x:c r="B35" s="30"/>
      <x:c r="C35" s="30"/>
      <x:c r="D35" s="30"/>
      <x:c r="E35" s="30"/>
      <x:c r="F35" s="34"/>
      <x:c r="G35" s="34"/>
      <x:c r="H35" s="30"/>
      <x:c r="I35" s="30"/>
      <x:c r="J35" s="34"/>
      <x:c r="K35" s="30"/>
      <x:c r="L35" s="30"/>
    </x:row>
    <x:row r="36">
      <x:c r="A36" s="30"/>
      <x:c r="B36" s="30"/>
      <x:c r="C36" s="30"/>
      <x:c r="D36" s="30"/>
      <x:c r="E36" s="30"/>
      <x:c r="F36" s="34"/>
      <x:c r="G36" s="34"/>
      <x:c r="H36" s="30"/>
      <x:c r="I36" s="30"/>
      <x:c r="J36" s="34"/>
      <x:c r="K36" s="30"/>
      <x:c r="L36" s="30"/>
    </x:row>
    <x:row r="37">
      <x:c r="A37" s="30"/>
      <x:c r="B37" s="30"/>
      <x:c r="C37" s="30"/>
      <x:c r="D37" s="30"/>
      <x:c r="E37" s="30"/>
      <x:c r="F37" s="34"/>
      <x:c r="G37" s="34"/>
      <x:c r="H37" s="30"/>
      <x:c r="I37" s="30"/>
      <x:c r="J37" s="34"/>
      <x:c r="K37" s="30"/>
      <x:c r="L37" s="30"/>
    </x:row>
    <x:row r="38">
      <x:c r="A38" s="30"/>
      <x:c r="B38" s="30"/>
      <x:c r="C38" s="30"/>
      <x:c r="D38" s="30"/>
      <x:c r="E38" s="30"/>
      <x:c r="F38" s="34"/>
      <x:c r="G38" s="34"/>
      <x:c r="H38" s="30"/>
      <x:c r="I38" s="30"/>
      <x:c r="J38" s="34"/>
      <x:c r="K38" s="30"/>
      <x:c r="L38" s="30"/>
    </x:row>
    <x:row r="39">
      <x:c r="A39" s="30"/>
      <x:c r="B39" s="30"/>
      <x:c r="C39" s="30"/>
      <x:c r="D39" s="30"/>
      <x:c r="E39" s="30"/>
      <x:c r="F39" s="34"/>
      <x:c r="G39" s="34"/>
      <x:c r="H39" s="30"/>
      <x:c r="I39" s="30"/>
      <x:c r="J39" s="34"/>
      <x:c r="K39" s="30"/>
      <x:c r="L39" s="30"/>
    </x:row>
    <x:row r="40">
      <x:c r="A40" s="30"/>
      <x:c r="B40" s="30"/>
      <x:c r="C40" s="30"/>
      <x:c r="D40" s="30"/>
      <x:c r="E40" s="30"/>
      <x:c r="F40" s="34"/>
      <x:c r="G40" s="34"/>
      <x:c r="H40" s="30"/>
      <x:c r="I40" s="30"/>
      <x:c r="J40" s="34"/>
      <x:c r="K40" s="30"/>
      <x:c r="L40" s="30"/>
    </x:row>
    <x:row r="41">
      <x:c r="A41" s="30"/>
      <x:c r="B41" s="30"/>
      <x:c r="C41" s="30"/>
      <x:c r="D41" s="30"/>
      <x:c r="E41" s="30"/>
      <x:c r="F41" s="34"/>
      <x:c r="G41" s="34"/>
      <x:c r="H41" s="30"/>
      <x:c r="I41" s="30"/>
      <x:c r="J41" s="34"/>
      <x:c r="K41" s="30"/>
      <x:c r="L41" s="30"/>
    </x:row>
    <x:row r="42">
      <x:c r="A42" s="30"/>
      <x:c r="B42" s="30"/>
      <x:c r="C42" s="30"/>
      <x:c r="D42" s="30"/>
      <x:c r="E42" s="30"/>
      <x:c r="F42" s="34"/>
      <x:c r="G42" s="34"/>
      <x:c r="H42" s="30"/>
      <x:c r="I42" s="30"/>
      <x:c r="J42" s="34"/>
      <x:c r="K42" s="30"/>
      <x:c r="L42" s="30"/>
    </x:row>
    <x:row r="43">
      <x:c r="A43" s="30"/>
      <x:c r="B43" s="30"/>
      <x:c r="C43" s="30"/>
      <x:c r="D43" s="30"/>
      <x:c r="E43" s="30"/>
      <x:c r="F43" s="34"/>
      <x:c r="G43" s="34"/>
      <x:c r="H43" s="30"/>
      <x:c r="I43" s="30"/>
      <x:c r="J43" s="34"/>
      <x:c r="K43" s="30"/>
      <x:c r="L43" s="30"/>
    </x:row>
    <x:row r="44">
      <x:c r="A44" s="30"/>
      <x:c r="B44" s="30"/>
      <x:c r="C44" s="30"/>
      <x:c r="D44" s="30"/>
      <x:c r="E44" s="30"/>
      <x:c r="F44" s="34"/>
      <x:c r="G44" s="34"/>
      <x:c r="H44" s="30"/>
      <x:c r="I44" s="30"/>
      <x:c r="J44" s="34"/>
      <x:c r="K44" s="30"/>
      <x:c r="L44" s="30"/>
    </x:row>
    <x:row r="45">
      <x:c r="A45" s="30"/>
      <x:c r="B45" s="30"/>
      <x:c r="C45" s="30"/>
      <x:c r="D45" s="30"/>
      <x:c r="E45" s="30"/>
      <x:c r="F45" s="34"/>
      <x:c r="G45" s="34"/>
      <x:c r="H45" s="30"/>
      <x:c r="I45" s="30"/>
      <x:c r="J45" s="34"/>
      <x:c r="K45" s="30"/>
      <x:c r="L45" s="30"/>
    </x:row>
    <x:row r="46">
      <x:c r="A46" s="30"/>
      <x:c r="B46" s="30"/>
      <x:c r="C46" s="30"/>
      <x:c r="D46" s="30"/>
      <x:c r="E46" s="30"/>
      <x:c r="F46" s="34"/>
      <x:c r="G46" s="34"/>
      <x:c r="H46" s="30"/>
      <x:c r="I46" s="30"/>
      <x:c r="J46" s="34"/>
      <x:c r="K46" s="30"/>
      <x:c r="L46" s="30"/>
    </x:row>
    <x:row r="47">
      <x:c r="A47" s="30"/>
      <x:c r="B47" s="30"/>
      <x:c r="C47" s="30"/>
      <x:c r="D47" s="30"/>
      <x:c r="E47" s="30"/>
      <x:c r="F47" s="34"/>
      <x:c r="G47" s="34"/>
      <x:c r="H47" s="30"/>
      <x:c r="I47" s="30"/>
      <x:c r="J47" s="34"/>
      <x:c r="K47" s="30"/>
      <x:c r="L47" s="30"/>
    </x:row>
    <x:row r="48">
      <x:c r="A48" s="30"/>
      <x:c r="B48" s="30"/>
      <x:c r="C48" s="30"/>
      <x:c r="D48" s="30"/>
      <x:c r="E48" s="30"/>
      <x:c r="F48" s="34"/>
      <x:c r="G48" s="34"/>
      <x:c r="H48" s="30"/>
      <x:c r="I48" s="30"/>
      <x:c r="J48" s="34"/>
      <x:c r="K48" s="30"/>
      <x:c r="L48" s="30"/>
    </x:row>
    <x:row r="49">
      <x:c r="A49" s="30"/>
      <x:c r="B49" s="30"/>
      <x:c r="C49" s="30"/>
      <x:c r="D49" s="30"/>
      <x:c r="E49" s="30"/>
      <x:c r="F49" s="34"/>
      <x:c r="G49" s="34"/>
      <x:c r="H49" s="30"/>
      <x:c r="I49" s="30"/>
      <x:c r="J49" s="34"/>
      <x:c r="K49" s="30"/>
      <x:c r="L49" s="30"/>
    </x:row>
    <x:row r="50">
      <x:c r="A50" s="30"/>
      <x:c r="B50" s="30"/>
      <x:c r="C50" s="30"/>
      <x:c r="D50" s="30"/>
      <x:c r="E50" s="30"/>
      <x:c r="F50" s="34"/>
      <x:c r="G50" s="34"/>
      <x:c r="H50" s="30"/>
      <x:c r="I50" s="30"/>
      <x:c r="J50" s="34"/>
      <x:c r="K50" s="30"/>
      <x:c r="L50" s="30"/>
    </x:row>
    <x:row r="51">
      <x:c r="A51" s="30"/>
      <x:c r="B51" s="30"/>
      <x:c r="C51" s="30"/>
      <x:c r="D51" s="30"/>
      <x:c r="E51" s="30"/>
      <x:c r="F51" s="34"/>
      <x:c r="G51" s="34"/>
      <x:c r="H51" s="30"/>
      <x:c r="I51" s="30"/>
      <x:c r="J51" s="34"/>
      <x:c r="K51" s="30"/>
      <x:c r="L51" s="30"/>
    </x:row>
    <x:row r="52">
      <x:c r="A52" s="30"/>
      <x:c r="B52" s="30"/>
      <x:c r="C52" s="30"/>
      <x:c r="D52" s="30"/>
      <x:c r="E52" s="30"/>
      <x:c r="F52" s="34"/>
      <x:c r="G52" s="34"/>
      <x:c r="H52" s="30"/>
      <x:c r="I52" s="30"/>
      <x:c r="J52" s="34"/>
      <x:c r="K52" s="30"/>
      <x:c r="L52" s="30"/>
    </x:row>
    <x:row r="53">
      <x:c r="A53" s="30"/>
      <x:c r="B53" s="30"/>
      <x:c r="C53" s="30"/>
      <x:c r="D53" s="30"/>
      <x:c r="E53" s="30"/>
      <x:c r="F53" s="34"/>
      <x:c r="G53" s="34"/>
      <x:c r="H53" s="30"/>
      <x:c r="I53" s="30"/>
      <x:c r="J53" s="34"/>
      <x:c r="K53" s="30"/>
      <x:c r="L53" s="30"/>
    </x:row>
    <x:row r="54">
      <x:c r="A54" s="30"/>
      <x:c r="B54" s="30"/>
      <x:c r="C54" s="30"/>
      <x:c r="D54" s="30"/>
      <x:c r="E54" s="30"/>
      <x:c r="F54" s="34"/>
      <x:c r="G54" s="34"/>
      <x:c r="H54" s="30"/>
      <x:c r="I54" s="30"/>
      <x:c r="J54" s="34"/>
      <x:c r="K54" s="30"/>
      <x:c r="L54" s="30"/>
    </x:row>
    <x:row r="55">
      <x:c r="A55" s="30"/>
      <x:c r="B55" s="30"/>
      <x:c r="C55" s="30"/>
      <x:c r="D55" s="30"/>
      <x:c r="E55" s="30"/>
      <x:c r="F55" s="34"/>
      <x:c r="G55" s="34"/>
      <x:c r="H55" s="30"/>
      <x:c r="I55" s="30"/>
      <x:c r="J55" s="34"/>
      <x:c r="K55" s="30"/>
      <x:c r="L55" s="30"/>
    </x:row>
    <x:row r="56">
      <x:c r="A56" s="30"/>
      <x:c r="B56" s="30"/>
      <x:c r="C56" s="30"/>
      <x:c r="D56" s="30"/>
      <x:c r="E56" s="30"/>
      <x:c r="F56" s="34"/>
      <x:c r="G56" s="34"/>
      <x:c r="H56" s="30"/>
      <x:c r="I56" s="30"/>
      <x:c r="J56" s="34"/>
      <x:c r="K56" s="30"/>
      <x:c r="L56" s="30"/>
    </x:row>
    <x:row r="57">
      <x:c r="A57" s="30"/>
      <x:c r="B57" s="30"/>
      <x:c r="C57" s="30"/>
      <x:c r="D57" s="30"/>
      <x:c r="E57" s="30"/>
      <x:c r="F57" s="34"/>
      <x:c r="G57" s="34"/>
      <x:c r="H57" s="30"/>
      <x:c r="I57" s="30"/>
      <x:c r="J57" s="34"/>
      <x:c r="K57" s="30"/>
      <x:c r="L57" s="30"/>
    </x:row>
    <x:row r="58">
      <x:c r="A58" s="30"/>
      <x:c r="B58" s="30"/>
      <x:c r="C58" s="30"/>
      <x:c r="D58" s="30"/>
      <x:c r="E58" s="30"/>
      <x:c r="F58" s="34"/>
      <x:c r="G58" s="34"/>
      <x:c r="H58" s="30"/>
      <x:c r="I58" s="30"/>
      <x:c r="J58" s="34"/>
      <x:c r="K58" s="30"/>
      <x:c r="L58" s="30"/>
    </x:row>
    <x:row r="59">
      <x:c r="A59" s="30"/>
      <x:c r="B59" s="30"/>
      <x:c r="C59" s="30"/>
      <x:c r="D59" s="30"/>
      <x:c r="E59" s="30"/>
      <x:c r="F59" s="34"/>
      <x:c r="G59" s="34"/>
      <x:c r="H59" s="30"/>
      <x:c r="I59" s="30"/>
      <x:c r="J59" s="34"/>
      <x:c r="K59" s="30"/>
      <x:c r="L59" s="30"/>
    </x:row>
    <x:row r="60">
      <x:c r="A60" s="30"/>
      <x:c r="B60" s="30"/>
      <x:c r="C60" s="30"/>
      <x:c r="D60" s="30"/>
      <x:c r="E60" s="30"/>
      <x:c r="F60" s="34"/>
      <x:c r="G60" s="34"/>
      <x:c r="H60" s="30"/>
      <x:c r="I60" s="30"/>
      <x:c r="J60" s="34"/>
      <x:c r="K60" s="30"/>
      <x:c r="L60" s="30"/>
    </x:row>
    <x:row r="61">
      <x:c r="A61" s="30"/>
      <x:c r="B61" s="30"/>
      <x:c r="C61" s="30"/>
      <x:c r="D61" s="30"/>
      <x:c r="E61" s="30"/>
      <x:c r="F61" s="34"/>
      <x:c r="G61" s="34"/>
      <x:c r="H61" s="30"/>
      <x:c r="I61" s="30"/>
      <x:c r="J61" s="34"/>
      <x:c r="K61" s="30"/>
      <x:c r="L61" s="30"/>
    </x:row>
    <x:row r="62">
      <x:c r="A62" s="30"/>
      <x:c r="B62" s="30"/>
      <x:c r="C62" s="30"/>
      <x:c r="D62" s="30"/>
      <x:c r="E62" s="30"/>
      <x:c r="F62" s="34"/>
      <x:c r="G62" s="34"/>
      <x:c r="H62" s="30"/>
      <x:c r="I62" s="30"/>
      <x:c r="J62" s="34"/>
      <x:c r="K62" s="30"/>
      <x:c r="L62" s="30"/>
    </x:row>
    <x:row r="63">
      <x:c r="A63" s="30"/>
      <x:c r="B63" s="30"/>
      <x:c r="C63" s="30"/>
      <x:c r="D63" s="30"/>
      <x:c r="E63" s="30"/>
      <x:c r="F63" s="34"/>
      <x:c r="G63" s="34"/>
      <x:c r="H63" s="30"/>
      <x:c r="I63" s="30"/>
      <x:c r="J63" s="34"/>
      <x:c r="K63" s="30"/>
      <x:c r="L63" s="30"/>
    </x:row>
    <x:row r="64">
      <x:c r="A64" s="30"/>
      <x:c r="B64" s="30"/>
      <x:c r="C64" s="30"/>
      <x:c r="D64" s="30"/>
      <x:c r="E64" s="30"/>
      <x:c r="F64" s="34"/>
      <x:c r="G64" s="34"/>
      <x:c r="H64" s="30"/>
      <x:c r="I64" s="30"/>
      <x:c r="J64" s="34"/>
      <x:c r="K64" s="30"/>
      <x:c r="L64" s="30"/>
    </x:row>
    <x:row r="65">
      <x:c r="A65" s="30"/>
      <x:c r="B65" s="30"/>
      <x:c r="C65" s="30"/>
      <x:c r="D65" s="30"/>
      <x:c r="E65" s="30"/>
      <x:c r="F65" s="34"/>
      <x:c r="G65" s="34"/>
      <x:c r="H65" s="30"/>
      <x:c r="I65" s="30"/>
      <x:c r="J65" s="34"/>
      <x:c r="K65" s="30"/>
      <x:c r="L65" s="30"/>
    </x:row>
    <x:row r="66">
      <x:c r="A66" s="30"/>
      <x:c r="B66" s="30"/>
      <x:c r="C66" s="30"/>
      <x:c r="D66" s="30"/>
      <x:c r="E66" s="30"/>
      <x:c r="F66" s="34"/>
      <x:c r="G66" s="34"/>
      <x:c r="H66" s="30"/>
      <x:c r="I66" s="30"/>
      <x:c r="J66" s="34"/>
      <x:c r="K66" s="30"/>
      <x:c r="L66" s="30"/>
    </x:row>
    <x:row r="67">
      <x:c r="A67" s="30"/>
      <x:c r="B67" s="30"/>
      <x:c r="C67" s="30"/>
      <x:c r="D67" s="30"/>
      <x:c r="E67" s="30"/>
      <x:c r="F67" s="34"/>
      <x:c r="G67" s="34"/>
      <x:c r="H67" s="30"/>
      <x:c r="I67" s="30"/>
      <x:c r="J67" s="34"/>
      <x:c r="K67" s="30"/>
      <x:c r="L67" s="30"/>
    </x:row>
    <x:row r="68">
      <x:c r="A68" s="30"/>
      <x:c r="B68" s="30"/>
      <x:c r="C68" s="30"/>
      <x:c r="D68" s="30"/>
      <x:c r="E68" s="30"/>
      <x:c r="F68" s="34"/>
      <x:c r="G68" s="34"/>
      <x:c r="H68" s="30"/>
      <x:c r="I68" s="30"/>
      <x:c r="J68" s="34"/>
      <x:c r="K68" s="30"/>
      <x:c r="L68" s="30"/>
    </x:row>
    <x:row r="69">
      <x:c r="A69" s="30"/>
      <x:c r="B69" s="30"/>
      <x:c r="C69" s="30"/>
      <x:c r="D69" s="30"/>
      <x:c r="E69" s="30"/>
      <x:c r="F69" s="34"/>
      <x:c r="G69" s="34"/>
      <x:c r="H69" s="30"/>
      <x:c r="I69" s="30"/>
      <x:c r="J69" s="34"/>
      <x:c r="K69" s="30"/>
      <x:c r="L69" s="30"/>
    </x:row>
    <x:row r="70">
      <x:c r="A70" s="30"/>
      <x:c r="B70" s="30"/>
      <x:c r="C70" s="30"/>
      <x:c r="D70" s="30"/>
      <x:c r="E70" s="30"/>
      <x:c r="F70" s="34"/>
      <x:c r="G70" s="34"/>
      <x:c r="H70" s="30"/>
      <x:c r="I70" s="30"/>
      <x:c r="J70" s="34"/>
      <x:c r="K70" s="30"/>
      <x:c r="L70" s="30"/>
    </x:row>
    <x:row r="71">
      <x:c r="A71" s="30"/>
      <x:c r="B71" s="30"/>
      <x:c r="C71" s="30"/>
      <x:c r="D71" s="30"/>
      <x:c r="E71" s="30"/>
      <x:c r="F71" s="34"/>
      <x:c r="G71" s="34"/>
      <x:c r="H71" s="30"/>
      <x:c r="I71" s="30"/>
      <x:c r="J71" s="34"/>
      <x:c r="K71" s="30"/>
      <x:c r="L71" s="30"/>
    </x:row>
    <x:row r="72">
      <x:c r="A72" s="30"/>
      <x:c r="B72" s="30"/>
      <x:c r="C72" s="30"/>
      <x:c r="D72" s="30"/>
      <x:c r="E72" s="30"/>
      <x:c r="F72" s="34"/>
      <x:c r="G72" s="34"/>
      <x:c r="H72" s="30"/>
      <x:c r="I72" s="30"/>
      <x:c r="J72" s="34"/>
      <x:c r="K72" s="30"/>
      <x:c r="L72" s="30"/>
    </x:row>
    <x:row r="73">
      <x:c r="A73" s="30"/>
      <x:c r="B73" s="30"/>
      <x:c r="C73" s="30"/>
      <x:c r="D73" s="30"/>
      <x:c r="E73" s="30"/>
      <x:c r="F73" s="34"/>
      <x:c r="G73" s="34"/>
      <x:c r="H73" s="30"/>
      <x:c r="I73" s="30"/>
      <x:c r="J73" s="34"/>
      <x:c r="K73" s="30"/>
      <x:c r="L73" s="30"/>
    </x:row>
    <x:row r="74">
      <x:c r="A74" s="30"/>
      <x:c r="B74" s="30"/>
      <x:c r="C74" s="30"/>
      <x:c r="D74" s="30"/>
      <x:c r="E74" s="30"/>
      <x:c r="F74" s="34"/>
      <x:c r="G74" s="34"/>
      <x:c r="H74" s="30"/>
      <x:c r="I74" s="30"/>
      <x:c r="J74" s="34"/>
      <x:c r="K74" s="30"/>
      <x:c r="L74" s="30"/>
    </x:row>
    <x:row r="75">
      <x:c r="A75" s="30"/>
      <x:c r="B75" s="30"/>
      <x:c r="C75" s="30"/>
      <x:c r="D75" s="30"/>
      <x:c r="E75" s="30"/>
      <x:c r="F75" s="34"/>
      <x:c r="G75" s="34"/>
      <x:c r="H75" s="30"/>
      <x:c r="I75" s="30"/>
      <x:c r="J75" s="34"/>
      <x:c r="K75" s="30"/>
      <x:c r="L75" s="30"/>
    </x:row>
    <x:row r="76">
      <x:c r="A76" s="30"/>
      <x:c r="B76" s="30"/>
      <x:c r="C76" s="30"/>
      <x:c r="D76" s="30"/>
      <x:c r="E76" s="30"/>
      <x:c r="F76" s="34"/>
      <x:c r="G76" s="34"/>
      <x:c r="H76" s="30"/>
      <x:c r="I76" s="30"/>
      <x:c r="J76" s="34"/>
      <x:c r="K76" s="30"/>
      <x:c r="L76" s="30"/>
    </x:row>
    <x:row r="77">
      <x:c r="A77" s="30"/>
      <x:c r="B77" s="30"/>
      <x:c r="C77" s="30"/>
      <x:c r="D77" s="30"/>
      <x:c r="E77" s="30"/>
      <x:c r="F77" s="34"/>
      <x:c r="G77" s="34"/>
      <x:c r="H77" s="30"/>
      <x:c r="I77" s="30"/>
      <x:c r="J77" s="34"/>
      <x:c r="K77" s="30"/>
      <x:c r="L77" s="30"/>
    </x:row>
    <x:row r="78">
      <x:c r="A78" s="30"/>
      <x:c r="B78" s="30"/>
      <x:c r="C78" s="30"/>
      <x:c r="D78" s="30"/>
      <x:c r="E78" s="30"/>
      <x:c r="F78" s="34"/>
      <x:c r="G78" s="34"/>
      <x:c r="H78" s="30"/>
      <x:c r="I78" s="30"/>
      <x:c r="J78" s="34"/>
      <x:c r="K78" s="30"/>
      <x:c r="L78" s="30"/>
    </x:row>
    <x:row r="79">
      <x:c r="A79" s="30"/>
      <x:c r="B79" s="30"/>
      <x:c r="C79" s="30"/>
      <x:c r="D79" s="30"/>
      <x:c r="E79" s="30"/>
      <x:c r="F79" s="34"/>
      <x:c r="G79" s="34"/>
      <x:c r="H79" s="30"/>
      <x:c r="I79" s="30"/>
      <x:c r="J79" s="34"/>
      <x:c r="K79" s="30"/>
      <x:c r="L79" s="30"/>
    </x:row>
    <x:row r="80">
      <x:c r="A80" s="30"/>
      <x:c r="B80" s="30"/>
      <x:c r="C80" s="30"/>
      <x:c r="D80" s="30"/>
      <x:c r="E80" s="30"/>
      <x:c r="F80" s="34"/>
      <x:c r="G80" s="34"/>
      <x:c r="H80" s="30"/>
      <x:c r="I80" s="30"/>
      <x:c r="J80" s="34"/>
      <x:c r="K80" s="30"/>
      <x:c r="L80" s="30"/>
    </x:row>
  </x:sheetData>
  <x:mergeCells>
    <x:mergeCell ref="A1:H2"/>
    <x:mergeCell ref="A3:H3"/>
  </x:mergeCells>
  <x:conditionalFormatting sqref="H7:H80">
    <x:cfRule type="expression" dxfId="123" priority="1">
      <x:formula>H7="ACEITO"</x:formula>
    </x:cfRule>
    <x:cfRule type="expression" dxfId="124" priority="2">
      <x:formula>H7="PUBLICADO"</x:formula>
    </x:cfRule>
    <x:cfRule type="expression" dxfId="125" priority="3">
      <x:formula>H7="EM PRODUÇÃO"</x:formula>
    </x:cfRule>
    <x:cfRule type="expression" dxfId="126" priority="4">
      <x:formula>H7="ARGUMENTAÇÃO"</x:formula>
    </x:cfRule>
    <x:cfRule type="expression" dxfId="127" priority="5">
      <x:formula>H7="PESQUISA"</x:formula>
    </x:cfRule>
    <x:cfRule type="expression" dxfId="128" priority="6">
      <x:formula>H7="EM REVISÃO"</x:formula>
    </x:cfRule>
    <x:cfRule type="expression" dxfId="129" priority="7">
      <x:formula>H7="EM RISCO"</x:formula>
    </x:cfRule>
    <x:cfRule type="expression" dxfId="130" priority="8">
      <x:formula>H7="BLOQUEADO"</x:formula>
    </x:cfRule>
    <x:cfRule type="expression" dxfId="131" priority="9">
      <x:formula>H7="RASCUNHO"</x:formula>
    </x:cfRule>
    <x:cfRule type="expression" dxfId="132" priority="10">
      <x:formula>H7="PLANEJADO"</x:formula>
    </x:cfRule>
    <x:cfRule type="expression" dxfId="133" priority="11">
      <x:formula>H7="TRIAGEM"</x:formula>
    </x:cfRule>
  </x:conditionalFormatting>
  <x:dataValidations count="2">
    <x:dataValidation type="list" sqref="D7:D80">
      <x:formula1>'19_CONFIG_LISTAS'!$E$7:$E$14</x:formula1>
    </x:dataValidation>
    <x:dataValidation type="list" sqref="H7:H80">
      <x:formula1>'19_CONFIG_LISTAS'!$A$7:$A$23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22" hidden="0" customWidth="1"/>
    <x:col min="6" max="6" width="40" hidden="0" customWidth="1"/>
    <x:col min="7" max="7" width="40" hidden="0" customWidth="1"/>
    <x:col min="8" max="8" width="18" hidden="0" customWidth="1"/>
    <x:col min="9" max="9" width="16" hidden="0" customWidth="1"/>
    <x:col min="10" max="10" width="18" hidden="0" customWidth="1"/>
    <x:col min="11" max="11" width="40" hidden="0" customWidth="1"/>
  </x:cols>
  <x:sheetData>
    <x:row r="1">
      <x:c r="A1" s="4" t="str">
        <x:v>DISTRIBUIÇÃO · RECIRCULAÇÃO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Ações para lançar, distribuir e reativar conteúdos.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Dist_ID</x:v>
      </x:c>
      <x:c r="B6" s="23" t="str">
        <x:v>Publication_ID</x:v>
      </x:c>
      <x:c r="C6" s="23" t="str">
        <x:v>Content_ID</x:v>
      </x:c>
      <x:c r="D6" s="23" t="str">
        <x:v>Canal</x:v>
      </x:c>
      <x:c r="E6" s="23" t="str">
        <x:v>Tipo</x:v>
      </x:c>
      <x:c r="F6" s="23" t="str">
        <x:v>Ação</x:v>
      </x:c>
      <x:c r="G6" s="23" t="str">
        <x:v>Audiência / segmento</x:v>
      </x:c>
      <x:c r="H6" s="23" t="str">
        <x:v>Data</x:v>
      </x:c>
      <x:c r="I6" s="23" t="str">
        <x:v>Owner</x:v>
      </x:c>
      <x:c r="J6" s="23" t="str">
        <x:v>Status</x:v>
      </x:c>
      <x:c r="K6" s="23" t="str">
        <x:v>Resultado / aprendizado</x:v>
      </x:c>
    </x:row>
    <x:row r="7">
      <x:c r="A7" s="30" t="str"/>
      <x:c r="B7" s="30" t="str"/>
      <x:c r="C7" s="30" t="str"/>
      <x:c r="D7" s="30" t="str"/>
      <x:c r="E7" s="30" t="str">
        <x:v>Owned</x:v>
      </x:c>
      <x:c r="F7" s="30" t="str"/>
      <x:c r="G7" s="30" t="str"/>
      <x:c r="H7" s="34"/>
      <x:c r="I7" s="30" t="str">
        <x:v>Não determinado</x:v>
      </x:c>
      <x:c r="J7" s="30" t="str">
        <x:v>PLANEJADO</x:v>
      </x:c>
      <x:c r="K7" s="30" t="str"/>
    </x:row>
    <x:row r="8">
      <x:c r="A8" s="30"/>
      <x:c r="B8" s="30"/>
      <x:c r="C8" s="30"/>
      <x:c r="D8" s="30"/>
      <x:c r="E8" s="30"/>
      <x:c r="F8" s="30"/>
      <x:c r="G8" s="30"/>
      <x:c r="H8" s="34"/>
      <x:c r="I8" s="30"/>
      <x:c r="J8" s="30"/>
      <x:c r="K8" s="30"/>
    </x:row>
    <x:row r="9">
      <x:c r="A9" s="30"/>
      <x:c r="B9" s="30"/>
      <x:c r="C9" s="30"/>
      <x:c r="D9" s="30"/>
      <x:c r="E9" s="30"/>
      <x:c r="F9" s="30"/>
      <x:c r="G9" s="30"/>
      <x:c r="H9" s="34"/>
      <x:c r="I9" s="30"/>
      <x:c r="J9" s="30"/>
      <x:c r="K9" s="30"/>
    </x:row>
    <x:row r="10">
      <x:c r="A10" s="30"/>
      <x:c r="B10" s="30"/>
      <x:c r="C10" s="30"/>
      <x:c r="D10" s="30"/>
      <x:c r="E10" s="30"/>
      <x:c r="F10" s="30"/>
      <x:c r="G10" s="30"/>
      <x:c r="H10" s="34"/>
      <x:c r="I10" s="30"/>
      <x:c r="J10" s="30"/>
      <x:c r="K10" s="30"/>
    </x:row>
    <x:row r="11">
      <x:c r="A11" s="30"/>
      <x:c r="B11" s="30"/>
      <x:c r="C11" s="30"/>
      <x:c r="D11" s="30"/>
      <x:c r="E11" s="30"/>
      <x:c r="F11" s="30"/>
      <x:c r="G11" s="30"/>
      <x:c r="H11" s="34"/>
      <x:c r="I11" s="30"/>
      <x:c r="J11" s="30"/>
      <x:c r="K11" s="30"/>
    </x:row>
    <x:row r="12">
      <x:c r="A12" s="30"/>
      <x:c r="B12" s="30"/>
      <x:c r="C12" s="30"/>
      <x:c r="D12" s="30"/>
      <x:c r="E12" s="30"/>
      <x:c r="F12" s="30"/>
      <x:c r="G12" s="30"/>
      <x:c r="H12" s="34"/>
      <x:c r="I12" s="30"/>
      <x:c r="J12" s="30"/>
      <x:c r="K12" s="30"/>
    </x:row>
    <x:row r="13">
      <x:c r="A13" s="30"/>
      <x:c r="B13" s="30"/>
      <x:c r="C13" s="30"/>
      <x:c r="D13" s="30"/>
      <x:c r="E13" s="30"/>
      <x:c r="F13" s="30"/>
      <x:c r="G13" s="30"/>
      <x:c r="H13" s="34"/>
      <x:c r="I13" s="30"/>
      <x:c r="J13" s="30"/>
      <x:c r="K13" s="30"/>
    </x:row>
    <x:row r="14">
      <x:c r="A14" s="30"/>
      <x:c r="B14" s="30"/>
      <x:c r="C14" s="30"/>
      <x:c r="D14" s="30"/>
      <x:c r="E14" s="30"/>
      <x:c r="F14" s="30"/>
      <x:c r="G14" s="30"/>
      <x:c r="H14" s="34"/>
      <x:c r="I14" s="30"/>
      <x:c r="J14" s="30"/>
      <x:c r="K14" s="30"/>
    </x:row>
    <x:row r="15">
      <x:c r="A15" s="30"/>
      <x:c r="B15" s="30"/>
      <x:c r="C15" s="30"/>
      <x:c r="D15" s="30"/>
      <x:c r="E15" s="30"/>
      <x:c r="F15" s="30"/>
      <x:c r="G15" s="30"/>
      <x:c r="H15" s="34"/>
      <x:c r="I15" s="30"/>
      <x:c r="J15" s="30"/>
      <x:c r="K15" s="30"/>
    </x:row>
    <x:row r="16">
      <x:c r="A16" s="30"/>
      <x:c r="B16" s="30"/>
      <x:c r="C16" s="30"/>
      <x:c r="D16" s="30"/>
      <x:c r="E16" s="30"/>
      <x:c r="F16" s="30"/>
      <x:c r="G16" s="30"/>
      <x:c r="H16" s="34"/>
      <x:c r="I16" s="30"/>
      <x:c r="J16" s="30"/>
      <x:c r="K16" s="30"/>
    </x:row>
    <x:row r="17">
      <x:c r="A17" s="30"/>
      <x:c r="B17" s="30"/>
      <x:c r="C17" s="30"/>
      <x:c r="D17" s="30"/>
      <x:c r="E17" s="30"/>
      <x:c r="F17" s="30"/>
      <x:c r="G17" s="30"/>
      <x:c r="H17" s="34"/>
      <x:c r="I17" s="30"/>
      <x:c r="J17" s="30"/>
      <x:c r="K17" s="30"/>
    </x:row>
    <x:row r="18">
      <x:c r="A18" s="30"/>
      <x:c r="B18" s="30"/>
      <x:c r="C18" s="30"/>
      <x:c r="D18" s="30"/>
      <x:c r="E18" s="30"/>
      <x:c r="F18" s="30"/>
      <x:c r="G18" s="30"/>
      <x:c r="H18" s="34"/>
      <x:c r="I18" s="30"/>
      <x:c r="J18" s="30"/>
      <x:c r="K18" s="30"/>
    </x:row>
    <x:row r="19">
      <x:c r="A19" s="30"/>
      <x:c r="B19" s="30"/>
      <x:c r="C19" s="30"/>
      <x:c r="D19" s="30"/>
      <x:c r="E19" s="30"/>
      <x:c r="F19" s="30"/>
      <x:c r="G19" s="30"/>
      <x:c r="H19" s="34"/>
      <x:c r="I19" s="30"/>
      <x:c r="J19" s="30"/>
      <x:c r="K19" s="30"/>
    </x:row>
    <x:row r="20">
      <x:c r="A20" s="30"/>
      <x:c r="B20" s="30"/>
      <x:c r="C20" s="30"/>
      <x:c r="D20" s="30"/>
      <x:c r="E20" s="30"/>
      <x:c r="F20" s="30"/>
      <x:c r="G20" s="30"/>
      <x:c r="H20" s="34"/>
      <x:c r="I20" s="30"/>
      <x:c r="J20" s="30"/>
      <x:c r="K20" s="30"/>
    </x:row>
    <x:row r="21">
      <x:c r="A21" s="30"/>
      <x:c r="B21" s="30"/>
      <x:c r="C21" s="30"/>
      <x:c r="D21" s="30"/>
      <x:c r="E21" s="30"/>
      <x:c r="F21" s="30"/>
      <x:c r="G21" s="30"/>
      <x:c r="H21" s="34"/>
      <x:c r="I21" s="30"/>
      <x:c r="J21" s="30"/>
      <x:c r="K21" s="30"/>
    </x:row>
    <x:row r="22">
      <x:c r="A22" s="30"/>
      <x:c r="B22" s="30"/>
      <x:c r="C22" s="30"/>
      <x:c r="D22" s="30"/>
      <x:c r="E22" s="30"/>
      <x:c r="F22" s="30"/>
      <x:c r="G22" s="30"/>
      <x:c r="H22" s="34"/>
      <x:c r="I22" s="30"/>
      <x:c r="J22" s="30"/>
      <x:c r="K22" s="30"/>
    </x:row>
    <x:row r="23">
      <x:c r="A23" s="30"/>
      <x:c r="B23" s="30"/>
      <x:c r="C23" s="30"/>
      <x:c r="D23" s="30"/>
      <x:c r="E23" s="30"/>
      <x:c r="F23" s="30"/>
      <x:c r="G23" s="30"/>
      <x:c r="H23" s="34"/>
      <x:c r="I23" s="30"/>
      <x:c r="J23" s="30"/>
      <x:c r="K23" s="30"/>
    </x:row>
    <x:row r="24">
      <x:c r="A24" s="30"/>
      <x:c r="B24" s="30"/>
      <x:c r="C24" s="30"/>
      <x:c r="D24" s="30"/>
      <x:c r="E24" s="30"/>
      <x:c r="F24" s="30"/>
      <x:c r="G24" s="30"/>
      <x:c r="H24" s="34"/>
      <x:c r="I24" s="30"/>
      <x:c r="J24" s="30"/>
      <x:c r="K24" s="30"/>
    </x:row>
    <x:row r="25">
      <x:c r="A25" s="30"/>
      <x:c r="B25" s="30"/>
      <x:c r="C25" s="30"/>
      <x:c r="D25" s="30"/>
      <x:c r="E25" s="30"/>
      <x:c r="F25" s="30"/>
      <x:c r="G25" s="30"/>
      <x:c r="H25" s="34"/>
      <x:c r="I25" s="30"/>
      <x:c r="J25" s="30"/>
      <x:c r="K25" s="30"/>
    </x:row>
    <x:row r="26">
      <x:c r="A26" s="30"/>
      <x:c r="B26" s="30"/>
      <x:c r="C26" s="30"/>
      <x:c r="D26" s="30"/>
      <x:c r="E26" s="30"/>
      <x:c r="F26" s="30"/>
      <x:c r="G26" s="30"/>
      <x:c r="H26" s="34"/>
      <x:c r="I26" s="30"/>
      <x:c r="J26" s="30"/>
      <x:c r="K26" s="30"/>
    </x:row>
    <x:row r="27">
      <x:c r="A27" s="30"/>
      <x:c r="B27" s="30"/>
      <x:c r="C27" s="30"/>
      <x:c r="D27" s="30"/>
      <x:c r="E27" s="30"/>
      <x:c r="F27" s="30"/>
      <x:c r="G27" s="30"/>
      <x:c r="H27" s="34"/>
      <x:c r="I27" s="30"/>
      <x:c r="J27" s="30"/>
      <x:c r="K27" s="30"/>
    </x:row>
    <x:row r="28">
      <x:c r="A28" s="30"/>
      <x:c r="B28" s="30"/>
      <x:c r="C28" s="30"/>
      <x:c r="D28" s="30"/>
      <x:c r="E28" s="30"/>
      <x:c r="F28" s="30"/>
      <x:c r="G28" s="30"/>
      <x:c r="H28" s="34"/>
      <x:c r="I28" s="30"/>
      <x:c r="J28" s="30"/>
      <x:c r="K28" s="30"/>
    </x:row>
    <x:row r="29">
      <x:c r="A29" s="30"/>
      <x:c r="B29" s="30"/>
      <x:c r="C29" s="30"/>
      <x:c r="D29" s="30"/>
      <x:c r="E29" s="30"/>
      <x:c r="F29" s="30"/>
      <x:c r="G29" s="30"/>
      <x:c r="H29" s="34"/>
      <x:c r="I29" s="30"/>
      <x:c r="J29" s="30"/>
      <x:c r="K29" s="30"/>
    </x:row>
    <x:row r="30">
      <x:c r="A30" s="30"/>
      <x:c r="B30" s="30"/>
      <x:c r="C30" s="30"/>
      <x:c r="D30" s="30"/>
      <x:c r="E30" s="30"/>
      <x:c r="F30" s="30"/>
      <x:c r="G30" s="30"/>
      <x:c r="H30" s="34"/>
      <x:c r="I30" s="30"/>
      <x:c r="J30" s="30"/>
      <x:c r="K30" s="30"/>
    </x:row>
    <x:row r="31">
      <x:c r="A31" s="30"/>
      <x:c r="B31" s="30"/>
      <x:c r="C31" s="30"/>
      <x:c r="D31" s="30"/>
      <x:c r="E31" s="30"/>
      <x:c r="F31" s="30"/>
      <x:c r="G31" s="30"/>
      <x:c r="H31" s="34"/>
      <x:c r="I31" s="30"/>
      <x:c r="J31" s="30"/>
      <x:c r="K31" s="30"/>
    </x:row>
    <x:row r="32">
      <x:c r="A32" s="30"/>
      <x:c r="B32" s="30"/>
      <x:c r="C32" s="30"/>
      <x:c r="D32" s="30"/>
      <x:c r="E32" s="30"/>
      <x:c r="F32" s="30"/>
      <x:c r="G32" s="30"/>
      <x:c r="H32" s="34"/>
      <x:c r="I32" s="30"/>
      <x:c r="J32" s="30"/>
      <x:c r="K32" s="30"/>
    </x:row>
    <x:row r="33">
      <x:c r="A33" s="30"/>
      <x:c r="B33" s="30"/>
      <x:c r="C33" s="30"/>
      <x:c r="D33" s="30"/>
      <x:c r="E33" s="30"/>
      <x:c r="F33" s="30"/>
      <x:c r="G33" s="30"/>
      <x:c r="H33" s="34"/>
      <x:c r="I33" s="30"/>
      <x:c r="J33" s="30"/>
      <x:c r="K33" s="30"/>
    </x:row>
    <x:row r="34">
      <x:c r="A34" s="30"/>
      <x:c r="B34" s="30"/>
      <x:c r="C34" s="30"/>
      <x:c r="D34" s="30"/>
      <x:c r="E34" s="30"/>
      <x:c r="F34" s="30"/>
      <x:c r="G34" s="30"/>
      <x:c r="H34" s="34"/>
      <x:c r="I34" s="30"/>
      <x:c r="J34" s="30"/>
      <x:c r="K34" s="30"/>
    </x:row>
    <x:row r="35">
      <x:c r="A35" s="30"/>
      <x:c r="B35" s="30"/>
      <x:c r="C35" s="30"/>
      <x:c r="D35" s="30"/>
      <x:c r="E35" s="30"/>
      <x:c r="F35" s="30"/>
      <x:c r="G35" s="30"/>
      <x:c r="H35" s="34"/>
      <x:c r="I35" s="30"/>
      <x:c r="J35" s="30"/>
      <x:c r="K35" s="30"/>
    </x:row>
    <x:row r="36">
      <x:c r="A36" s="30"/>
      <x:c r="B36" s="30"/>
      <x:c r="C36" s="30"/>
      <x:c r="D36" s="30"/>
      <x:c r="E36" s="30"/>
      <x:c r="F36" s="30"/>
      <x:c r="G36" s="30"/>
      <x:c r="H36" s="34"/>
      <x:c r="I36" s="30"/>
      <x:c r="J36" s="30"/>
      <x:c r="K36" s="30"/>
    </x:row>
    <x:row r="37">
      <x:c r="A37" s="30"/>
      <x:c r="B37" s="30"/>
      <x:c r="C37" s="30"/>
      <x:c r="D37" s="30"/>
      <x:c r="E37" s="30"/>
      <x:c r="F37" s="30"/>
      <x:c r="G37" s="30"/>
      <x:c r="H37" s="34"/>
      <x:c r="I37" s="30"/>
      <x:c r="J37" s="30"/>
      <x:c r="K37" s="30"/>
    </x:row>
    <x:row r="38">
      <x:c r="A38" s="30"/>
      <x:c r="B38" s="30"/>
      <x:c r="C38" s="30"/>
      <x:c r="D38" s="30"/>
      <x:c r="E38" s="30"/>
      <x:c r="F38" s="30"/>
      <x:c r="G38" s="30"/>
      <x:c r="H38" s="34"/>
      <x:c r="I38" s="30"/>
      <x:c r="J38" s="30"/>
      <x:c r="K38" s="30"/>
    </x:row>
    <x:row r="39">
      <x:c r="A39" s="30"/>
      <x:c r="B39" s="30"/>
      <x:c r="C39" s="30"/>
      <x:c r="D39" s="30"/>
      <x:c r="E39" s="30"/>
      <x:c r="F39" s="30"/>
      <x:c r="G39" s="30"/>
      <x:c r="H39" s="34"/>
      <x:c r="I39" s="30"/>
      <x:c r="J39" s="30"/>
      <x:c r="K39" s="30"/>
    </x:row>
    <x:row r="40">
      <x:c r="A40" s="30"/>
      <x:c r="B40" s="30"/>
      <x:c r="C40" s="30"/>
      <x:c r="D40" s="30"/>
      <x:c r="E40" s="30"/>
      <x:c r="F40" s="30"/>
      <x:c r="G40" s="30"/>
      <x:c r="H40" s="34"/>
      <x:c r="I40" s="30"/>
      <x:c r="J40" s="30"/>
      <x:c r="K40" s="30"/>
    </x:row>
    <x:row r="41">
      <x:c r="A41" s="30"/>
      <x:c r="B41" s="30"/>
      <x:c r="C41" s="30"/>
      <x:c r="D41" s="30"/>
      <x:c r="E41" s="30"/>
      <x:c r="F41" s="30"/>
      <x:c r="G41" s="30"/>
      <x:c r="H41" s="34"/>
      <x:c r="I41" s="30"/>
      <x:c r="J41" s="30"/>
      <x:c r="K41" s="30"/>
    </x:row>
    <x:row r="42">
      <x:c r="A42" s="30"/>
      <x:c r="B42" s="30"/>
      <x:c r="C42" s="30"/>
      <x:c r="D42" s="30"/>
      <x:c r="E42" s="30"/>
      <x:c r="F42" s="30"/>
      <x:c r="G42" s="30"/>
      <x:c r="H42" s="34"/>
      <x:c r="I42" s="30"/>
      <x:c r="J42" s="30"/>
      <x:c r="K42" s="30"/>
    </x:row>
    <x:row r="43">
      <x:c r="A43" s="30"/>
      <x:c r="B43" s="30"/>
      <x:c r="C43" s="30"/>
      <x:c r="D43" s="30"/>
      <x:c r="E43" s="30"/>
      <x:c r="F43" s="30"/>
      <x:c r="G43" s="30"/>
      <x:c r="H43" s="34"/>
      <x:c r="I43" s="30"/>
      <x:c r="J43" s="30"/>
      <x:c r="K43" s="30"/>
    </x:row>
    <x:row r="44">
      <x:c r="A44" s="30"/>
      <x:c r="B44" s="30"/>
      <x:c r="C44" s="30"/>
      <x:c r="D44" s="30"/>
      <x:c r="E44" s="30"/>
      <x:c r="F44" s="30"/>
      <x:c r="G44" s="30"/>
      <x:c r="H44" s="34"/>
      <x:c r="I44" s="30"/>
      <x:c r="J44" s="30"/>
      <x:c r="K44" s="30"/>
    </x:row>
    <x:row r="45">
      <x:c r="A45" s="30"/>
      <x:c r="B45" s="30"/>
      <x:c r="C45" s="30"/>
      <x:c r="D45" s="30"/>
      <x:c r="E45" s="30"/>
      <x:c r="F45" s="30"/>
      <x:c r="G45" s="30"/>
      <x:c r="H45" s="34"/>
      <x:c r="I45" s="30"/>
      <x:c r="J45" s="30"/>
      <x:c r="K45" s="30"/>
    </x:row>
    <x:row r="46">
      <x:c r="A46" s="30"/>
      <x:c r="B46" s="30"/>
      <x:c r="C46" s="30"/>
      <x:c r="D46" s="30"/>
      <x:c r="E46" s="30"/>
      <x:c r="F46" s="30"/>
      <x:c r="G46" s="30"/>
      <x:c r="H46" s="34"/>
      <x:c r="I46" s="30"/>
      <x:c r="J46" s="30"/>
      <x:c r="K46" s="30"/>
    </x:row>
    <x:row r="47">
      <x:c r="A47" s="30"/>
      <x:c r="B47" s="30"/>
      <x:c r="C47" s="30"/>
      <x:c r="D47" s="30"/>
      <x:c r="E47" s="30"/>
      <x:c r="F47" s="30"/>
      <x:c r="G47" s="30"/>
      <x:c r="H47" s="34"/>
      <x:c r="I47" s="30"/>
      <x:c r="J47" s="30"/>
      <x:c r="K47" s="30"/>
    </x:row>
    <x:row r="48">
      <x:c r="A48" s="30"/>
      <x:c r="B48" s="30"/>
      <x:c r="C48" s="30"/>
      <x:c r="D48" s="30"/>
      <x:c r="E48" s="30"/>
      <x:c r="F48" s="30"/>
      <x:c r="G48" s="30"/>
      <x:c r="H48" s="34"/>
      <x:c r="I48" s="30"/>
      <x:c r="J48" s="30"/>
      <x:c r="K48" s="30"/>
    </x:row>
    <x:row r="49">
      <x:c r="A49" s="30"/>
      <x:c r="B49" s="30"/>
      <x:c r="C49" s="30"/>
      <x:c r="D49" s="30"/>
      <x:c r="E49" s="30"/>
      <x:c r="F49" s="30"/>
      <x:c r="G49" s="30"/>
      <x:c r="H49" s="34"/>
      <x:c r="I49" s="30"/>
      <x:c r="J49" s="30"/>
      <x:c r="K49" s="30"/>
    </x:row>
    <x:row r="50">
      <x:c r="A50" s="30"/>
      <x:c r="B50" s="30"/>
      <x:c r="C50" s="30"/>
      <x:c r="D50" s="30"/>
      <x:c r="E50" s="30"/>
      <x:c r="F50" s="30"/>
      <x:c r="G50" s="30"/>
      <x:c r="H50" s="34"/>
      <x:c r="I50" s="30"/>
      <x:c r="J50" s="30"/>
      <x:c r="K50" s="30"/>
    </x:row>
    <x:row r="51">
      <x:c r="A51" s="30"/>
      <x:c r="B51" s="30"/>
      <x:c r="C51" s="30"/>
      <x:c r="D51" s="30"/>
      <x:c r="E51" s="30"/>
      <x:c r="F51" s="30"/>
      <x:c r="G51" s="30"/>
      <x:c r="H51" s="34"/>
      <x:c r="I51" s="30"/>
      <x:c r="J51" s="30"/>
      <x:c r="K51" s="30"/>
    </x:row>
    <x:row r="52">
      <x:c r="A52" s="30"/>
      <x:c r="B52" s="30"/>
      <x:c r="C52" s="30"/>
      <x:c r="D52" s="30"/>
      <x:c r="E52" s="30"/>
      <x:c r="F52" s="30"/>
      <x:c r="G52" s="30"/>
      <x:c r="H52" s="34"/>
      <x:c r="I52" s="30"/>
      <x:c r="J52" s="30"/>
      <x:c r="K52" s="30"/>
    </x:row>
    <x:row r="53">
      <x:c r="A53" s="30"/>
      <x:c r="B53" s="30"/>
      <x:c r="C53" s="30"/>
      <x:c r="D53" s="30"/>
      <x:c r="E53" s="30"/>
      <x:c r="F53" s="30"/>
      <x:c r="G53" s="30"/>
      <x:c r="H53" s="34"/>
      <x:c r="I53" s="30"/>
      <x:c r="J53" s="30"/>
      <x:c r="K53" s="30"/>
    </x:row>
    <x:row r="54">
      <x:c r="A54" s="30"/>
      <x:c r="B54" s="30"/>
      <x:c r="C54" s="30"/>
      <x:c r="D54" s="30"/>
      <x:c r="E54" s="30"/>
      <x:c r="F54" s="30"/>
      <x:c r="G54" s="30"/>
      <x:c r="H54" s="34"/>
      <x:c r="I54" s="30"/>
      <x:c r="J54" s="30"/>
      <x:c r="K54" s="30"/>
    </x:row>
    <x:row r="55">
      <x:c r="A55" s="30"/>
      <x:c r="B55" s="30"/>
      <x:c r="C55" s="30"/>
      <x:c r="D55" s="30"/>
      <x:c r="E55" s="30"/>
      <x:c r="F55" s="30"/>
      <x:c r="G55" s="30"/>
      <x:c r="H55" s="34"/>
      <x:c r="I55" s="30"/>
      <x:c r="J55" s="30"/>
      <x:c r="K55" s="30"/>
    </x:row>
    <x:row r="56">
      <x:c r="A56" s="30"/>
      <x:c r="B56" s="30"/>
      <x:c r="C56" s="30"/>
      <x:c r="D56" s="30"/>
      <x:c r="E56" s="30"/>
      <x:c r="F56" s="30"/>
      <x:c r="G56" s="30"/>
      <x:c r="H56" s="34"/>
      <x:c r="I56" s="30"/>
      <x:c r="J56" s="30"/>
      <x:c r="K56" s="30"/>
    </x:row>
    <x:row r="57">
      <x:c r="A57" s="30"/>
      <x:c r="B57" s="30"/>
      <x:c r="C57" s="30"/>
      <x:c r="D57" s="30"/>
      <x:c r="E57" s="30"/>
      <x:c r="F57" s="30"/>
      <x:c r="G57" s="30"/>
      <x:c r="H57" s="34"/>
      <x:c r="I57" s="30"/>
      <x:c r="J57" s="30"/>
      <x:c r="K57" s="30"/>
    </x:row>
    <x:row r="58">
      <x:c r="A58" s="30"/>
      <x:c r="B58" s="30"/>
      <x:c r="C58" s="30"/>
      <x:c r="D58" s="30"/>
      <x:c r="E58" s="30"/>
      <x:c r="F58" s="30"/>
      <x:c r="G58" s="30"/>
      <x:c r="H58" s="34"/>
      <x:c r="I58" s="30"/>
      <x:c r="J58" s="30"/>
      <x:c r="K58" s="30"/>
    </x:row>
    <x:row r="59">
      <x:c r="A59" s="30"/>
      <x:c r="B59" s="30"/>
      <x:c r="C59" s="30"/>
      <x:c r="D59" s="30"/>
      <x:c r="E59" s="30"/>
      <x:c r="F59" s="30"/>
      <x:c r="G59" s="30"/>
      <x:c r="H59" s="34"/>
      <x:c r="I59" s="30"/>
      <x:c r="J59" s="30"/>
      <x:c r="K59" s="30"/>
    </x:row>
    <x:row r="60">
      <x:c r="A60" s="30"/>
      <x:c r="B60" s="30"/>
      <x:c r="C60" s="30"/>
      <x:c r="D60" s="30"/>
      <x:c r="E60" s="30"/>
      <x:c r="F60" s="30"/>
      <x:c r="G60" s="30"/>
      <x:c r="H60" s="34"/>
      <x:c r="I60" s="30"/>
      <x:c r="J60" s="30"/>
      <x:c r="K60" s="30"/>
    </x:row>
    <x:row r="61">
      <x:c r="A61" s="30"/>
      <x:c r="B61" s="30"/>
      <x:c r="C61" s="30"/>
      <x:c r="D61" s="30"/>
      <x:c r="E61" s="30"/>
      <x:c r="F61" s="30"/>
      <x:c r="G61" s="30"/>
      <x:c r="H61" s="34"/>
      <x:c r="I61" s="30"/>
      <x:c r="J61" s="30"/>
      <x:c r="K61" s="30"/>
    </x:row>
    <x:row r="62">
      <x:c r="A62" s="30"/>
      <x:c r="B62" s="30"/>
      <x:c r="C62" s="30"/>
      <x:c r="D62" s="30"/>
      <x:c r="E62" s="30"/>
      <x:c r="F62" s="30"/>
      <x:c r="G62" s="30"/>
      <x:c r="H62" s="34"/>
      <x:c r="I62" s="30"/>
      <x:c r="J62" s="30"/>
      <x:c r="K62" s="30"/>
    </x:row>
    <x:row r="63">
      <x:c r="A63" s="30"/>
      <x:c r="B63" s="30"/>
      <x:c r="C63" s="30"/>
      <x:c r="D63" s="30"/>
      <x:c r="E63" s="30"/>
      <x:c r="F63" s="30"/>
      <x:c r="G63" s="30"/>
      <x:c r="H63" s="34"/>
      <x:c r="I63" s="30"/>
      <x:c r="J63" s="30"/>
      <x:c r="K63" s="30"/>
    </x:row>
    <x:row r="64">
      <x:c r="A64" s="30"/>
      <x:c r="B64" s="30"/>
      <x:c r="C64" s="30"/>
      <x:c r="D64" s="30"/>
      <x:c r="E64" s="30"/>
      <x:c r="F64" s="30"/>
      <x:c r="G64" s="30"/>
      <x:c r="H64" s="34"/>
      <x:c r="I64" s="30"/>
      <x:c r="J64" s="30"/>
      <x:c r="K64" s="30"/>
    </x:row>
    <x:row r="65">
      <x:c r="A65" s="30"/>
      <x:c r="B65" s="30"/>
      <x:c r="C65" s="30"/>
      <x:c r="D65" s="30"/>
      <x:c r="E65" s="30"/>
      <x:c r="F65" s="30"/>
      <x:c r="G65" s="30"/>
      <x:c r="H65" s="34"/>
      <x:c r="I65" s="30"/>
      <x:c r="J65" s="30"/>
      <x:c r="K65" s="30"/>
    </x:row>
    <x:row r="66">
      <x:c r="A66" s="30"/>
      <x:c r="B66" s="30"/>
      <x:c r="C66" s="30"/>
      <x:c r="D66" s="30"/>
      <x:c r="E66" s="30"/>
      <x:c r="F66" s="30"/>
      <x:c r="G66" s="30"/>
      <x:c r="H66" s="34"/>
      <x:c r="I66" s="30"/>
      <x:c r="J66" s="30"/>
      <x:c r="K66" s="30"/>
    </x:row>
    <x:row r="67">
      <x:c r="A67" s="30"/>
      <x:c r="B67" s="30"/>
      <x:c r="C67" s="30"/>
      <x:c r="D67" s="30"/>
      <x:c r="E67" s="30"/>
      <x:c r="F67" s="30"/>
      <x:c r="G67" s="30"/>
      <x:c r="H67" s="34"/>
      <x:c r="I67" s="30"/>
      <x:c r="J67" s="30"/>
      <x:c r="K67" s="30"/>
    </x:row>
    <x:row r="68">
      <x:c r="A68" s="30"/>
      <x:c r="B68" s="30"/>
      <x:c r="C68" s="30"/>
      <x:c r="D68" s="30"/>
      <x:c r="E68" s="30"/>
      <x:c r="F68" s="30"/>
      <x:c r="G68" s="30"/>
      <x:c r="H68" s="34"/>
      <x:c r="I68" s="30"/>
      <x:c r="J68" s="30"/>
      <x:c r="K68" s="30"/>
    </x:row>
    <x:row r="69">
      <x:c r="A69" s="30"/>
      <x:c r="B69" s="30"/>
      <x:c r="C69" s="30"/>
      <x:c r="D69" s="30"/>
      <x:c r="E69" s="30"/>
      <x:c r="F69" s="30"/>
      <x:c r="G69" s="30"/>
      <x:c r="H69" s="34"/>
      <x:c r="I69" s="30"/>
      <x:c r="J69" s="30"/>
      <x:c r="K69" s="30"/>
    </x:row>
    <x:row r="70">
      <x:c r="A70" s="30"/>
      <x:c r="B70" s="30"/>
      <x:c r="C70" s="30"/>
      <x:c r="D70" s="30"/>
      <x:c r="E70" s="30"/>
      <x:c r="F70" s="30"/>
      <x:c r="G70" s="30"/>
      <x:c r="H70" s="34"/>
      <x:c r="I70" s="30"/>
      <x:c r="J70" s="30"/>
      <x:c r="K70" s="30"/>
    </x:row>
    <x:row r="71">
      <x:c r="A71" s="30"/>
      <x:c r="B71" s="30"/>
      <x:c r="C71" s="30"/>
      <x:c r="D71" s="30"/>
      <x:c r="E71" s="30"/>
      <x:c r="F71" s="30"/>
      <x:c r="G71" s="30"/>
      <x:c r="H71" s="34"/>
      <x:c r="I71" s="30"/>
      <x:c r="J71" s="30"/>
      <x:c r="K71" s="30"/>
    </x:row>
    <x:row r="72">
      <x:c r="A72" s="30"/>
      <x:c r="B72" s="30"/>
      <x:c r="C72" s="30"/>
      <x:c r="D72" s="30"/>
      <x:c r="E72" s="30"/>
      <x:c r="F72" s="30"/>
      <x:c r="G72" s="30"/>
      <x:c r="H72" s="34"/>
      <x:c r="I72" s="30"/>
      <x:c r="J72" s="30"/>
      <x:c r="K72" s="30"/>
    </x:row>
    <x:row r="73">
      <x:c r="A73" s="30"/>
      <x:c r="B73" s="30"/>
      <x:c r="C73" s="30"/>
      <x:c r="D73" s="30"/>
      <x:c r="E73" s="30"/>
      <x:c r="F73" s="30"/>
      <x:c r="G73" s="30"/>
      <x:c r="H73" s="34"/>
      <x:c r="I73" s="30"/>
      <x:c r="J73" s="30"/>
      <x:c r="K73" s="30"/>
    </x:row>
    <x:row r="74">
      <x:c r="A74" s="30"/>
      <x:c r="B74" s="30"/>
      <x:c r="C74" s="30"/>
      <x:c r="D74" s="30"/>
      <x:c r="E74" s="30"/>
      <x:c r="F74" s="30"/>
      <x:c r="G74" s="30"/>
      <x:c r="H74" s="34"/>
      <x:c r="I74" s="30"/>
      <x:c r="J74" s="30"/>
      <x:c r="K74" s="30"/>
    </x:row>
    <x:row r="75">
      <x:c r="A75" s="30"/>
      <x:c r="B75" s="30"/>
      <x:c r="C75" s="30"/>
      <x:c r="D75" s="30"/>
      <x:c r="E75" s="30"/>
      <x:c r="F75" s="30"/>
      <x:c r="G75" s="30"/>
      <x:c r="H75" s="34"/>
      <x:c r="I75" s="30"/>
      <x:c r="J75" s="30"/>
      <x:c r="K75" s="30"/>
    </x:row>
    <x:row r="76">
      <x:c r="A76" s="30"/>
      <x:c r="B76" s="30"/>
      <x:c r="C76" s="30"/>
      <x:c r="D76" s="30"/>
      <x:c r="E76" s="30"/>
      <x:c r="F76" s="30"/>
      <x:c r="G76" s="30"/>
      <x:c r="H76" s="34"/>
      <x:c r="I76" s="30"/>
      <x:c r="J76" s="30"/>
      <x:c r="K76" s="30"/>
    </x:row>
    <x:row r="77">
      <x:c r="A77" s="30"/>
      <x:c r="B77" s="30"/>
      <x:c r="C77" s="30"/>
      <x:c r="D77" s="30"/>
      <x:c r="E77" s="30"/>
      <x:c r="F77" s="30"/>
      <x:c r="G77" s="30"/>
      <x:c r="H77" s="34"/>
      <x:c r="I77" s="30"/>
      <x:c r="J77" s="30"/>
      <x:c r="K77" s="30"/>
    </x:row>
    <x:row r="78">
      <x:c r="A78" s="30"/>
      <x:c r="B78" s="30"/>
      <x:c r="C78" s="30"/>
      <x:c r="D78" s="30"/>
      <x:c r="E78" s="30"/>
      <x:c r="F78" s="30"/>
      <x:c r="G78" s="30"/>
      <x:c r="H78" s="34"/>
      <x:c r="I78" s="30"/>
      <x:c r="J78" s="30"/>
      <x:c r="K78" s="30"/>
    </x:row>
    <x:row r="79">
      <x:c r="A79" s="30"/>
      <x:c r="B79" s="30"/>
      <x:c r="C79" s="30"/>
      <x:c r="D79" s="30"/>
      <x:c r="E79" s="30"/>
      <x:c r="F79" s="30"/>
      <x:c r="G79" s="30"/>
      <x:c r="H79" s="34"/>
      <x:c r="I79" s="30"/>
      <x:c r="J79" s="30"/>
      <x:c r="K79" s="30"/>
    </x:row>
    <x:row r="80">
      <x:c r="A80" s="30"/>
      <x:c r="B80" s="30"/>
      <x:c r="C80" s="30"/>
      <x:c r="D80" s="30"/>
      <x:c r="E80" s="30"/>
      <x:c r="F80" s="30"/>
      <x:c r="G80" s="30"/>
      <x:c r="H80" s="34"/>
      <x:c r="I80" s="30"/>
      <x:c r="J80" s="30"/>
      <x:c r="K80" s="30"/>
    </x:row>
  </x:sheetData>
  <x:mergeCells>
    <x:mergeCell ref="A1:H2"/>
    <x:mergeCell ref="A3:H3"/>
  </x:mergeCells>
  <x:conditionalFormatting sqref="J7:J80">
    <x:cfRule type="expression" dxfId="134" priority="1">
      <x:formula>J7="ACEITO"</x:formula>
    </x:cfRule>
    <x:cfRule type="expression" dxfId="135" priority="2">
      <x:formula>J7="PUBLICADO"</x:formula>
    </x:cfRule>
    <x:cfRule type="expression" dxfId="136" priority="3">
      <x:formula>J7="EM PRODUÇÃO"</x:formula>
    </x:cfRule>
    <x:cfRule type="expression" dxfId="137" priority="4">
      <x:formula>J7="ARGUMENTAÇÃO"</x:formula>
    </x:cfRule>
    <x:cfRule type="expression" dxfId="138" priority="5">
      <x:formula>J7="PESQUISA"</x:formula>
    </x:cfRule>
    <x:cfRule type="expression" dxfId="139" priority="6">
      <x:formula>J7="EM REVISÃO"</x:formula>
    </x:cfRule>
    <x:cfRule type="expression" dxfId="140" priority="7">
      <x:formula>J7="EM RISCO"</x:formula>
    </x:cfRule>
    <x:cfRule type="expression" dxfId="141" priority="8">
      <x:formula>J7="BLOQUEADO"</x:formula>
    </x:cfRule>
    <x:cfRule type="expression" dxfId="142" priority="9">
      <x:formula>J7="RASCUNHO"</x:formula>
    </x:cfRule>
    <x:cfRule type="expression" dxfId="143" priority="10">
      <x:formula>J7="PLANEJADO"</x:formula>
    </x:cfRule>
    <x:cfRule type="expression" dxfId="144" priority="11">
      <x:formula>J7="TRIAGEM"</x:formula>
    </x:cfRule>
  </x:conditionalFormatting>
  <x:dataValidations count="2">
    <x:dataValidation type="list" sqref="D7:D80">
      <x:formula1>'19_CONFIG_LISTAS'!$E$7:$E$14</x:formula1>
    </x:dataValidation>
    <x:dataValidation type="list" sqref="J7:J80">
      <x:formula1>'19_CONFIG_LISTAS'!$A$7:$A$23</x:formula1>
    </x:dataValidation>
  </x:dataValidation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  <x:col min="13" max="13" width="44" hidden="0" customWidth="1"/>
    <x:col min="14" max="14" width="44" hidden="0" customWidth="1"/>
  </x:cols>
  <x:sheetData>
    <x:row r="1">
      <x:c r="A1" s="4" t="str">
        <x:v>PERFORMANCE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Métricas por publicação com aprendizado e decisão explícitos.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Perf_ID</x:v>
      </x:c>
      <x:c r="B6" s="23" t="str">
        <x:v>Publication_ID</x:v>
      </x:c>
      <x:c r="C6" s="23" t="str">
        <x:v>Content_ID</x:v>
      </x:c>
      <x:c r="D6" s="23" t="str">
        <x:v>Canal</x:v>
      </x:c>
      <x:c r="E6" s="23" t="str">
        <x:v>Impressões</x:v>
      </x:c>
      <x:c r="F6" s="23" t="str">
        <x:v>Alcance</x:v>
      </x:c>
      <x:c r="G6" s="23" t="str">
        <x:v>Views</x:v>
      </x:c>
      <x:c r="H6" s="23" t="str">
        <x:v>Retenção %</x:v>
      </x:c>
      <x:c r="I6" s="23" t="str">
        <x:v>CTR %</x:v>
      </x:c>
      <x:c r="J6" s="23" t="str">
        <x:v>Engajamento %</x:v>
      </x:c>
      <x:c r="K6" s="23" t="str">
        <x:v>Conversões</x:v>
      </x:c>
      <x:c r="L6" s="23" t="str">
        <x:v>Data medição</x:v>
      </x:c>
      <x:c r="M6" s="23" t="str">
        <x:v>Aprendizado</x:v>
      </x:c>
      <x:c r="N6" s="23" t="str">
        <x:v>Decisão / próxima ação</x:v>
      </x:c>
    </x:row>
    <x:row r="7">
      <x:c r="A7" s="30" t="str"/>
      <x:c r="B7" s="30" t="str"/>
      <x:c r="C7" s="30" t="str"/>
      <x:c r="D7" s="30" t="str"/>
      <x:c r="E7" s="30" t="n">
        <x:v>0</x:v>
      </x:c>
      <x:c r="F7" s="30" t="n">
        <x:v>0</x:v>
      </x:c>
      <x:c r="G7" s="30" t="n">
        <x:v>0</x:v>
      </x:c>
      <x:c r="H7" s="38" t="n">
        <x:v>0</x:v>
      </x:c>
      <x:c r="I7" s="38" t="n">
        <x:v>0</x:v>
      </x:c>
      <x:c r="J7" s="38" t="n">
        <x:v>0</x:v>
      </x:c>
      <x:c r="K7" s="30" t="n">
        <x:v>0</x:v>
      </x:c>
      <x:c r="L7" s="34"/>
      <x:c r="M7" s="30" t="str"/>
      <x:c r="N7" s="30" t="str"/>
    </x:row>
    <x:row r="8">
      <x:c r="A8" s="30"/>
      <x:c r="B8" s="30"/>
      <x:c r="C8" s="30"/>
      <x:c r="D8" s="30"/>
      <x:c r="E8" s="30"/>
      <x:c r="F8" s="30"/>
      <x:c r="G8" s="30"/>
      <x:c r="H8" s="38"/>
      <x:c r="I8" s="38"/>
      <x:c r="J8" s="38"/>
      <x:c r="K8" s="30"/>
      <x:c r="L8" s="34"/>
      <x:c r="M8" s="30"/>
      <x:c r="N8" s="30"/>
    </x:row>
    <x:row r="9">
      <x:c r="A9" s="30"/>
      <x:c r="B9" s="30"/>
      <x:c r="C9" s="30"/>
      <x:c r="D9" s="30"/>
      <x:c r="E9" s="30"/>
      <x:c r="F9" s="30"/>
      <x:c r="G9" s="30"/>
      <x:c r="H9" s="38"/>
      <x:c r="I9" s="38"/>
      <x:c r="J9" s="38"/>
      <x:c r="K9" s="30"/>
      <x:c r="L9" s="34"/>
      <x:c r="M9" s="30"/>
      <x:c r="N9" s="30"/>
    </x:row>
    <x:row r="10">
      <x:c r="A10" s="30"/>
      <x:c r="B10" s="30"/>
      <x:c r="C10" s="30"/>
      <x:c r="D10" s="30"/>
      <x:c r="E10" s="30"/>
      <x:c r="F10" s="30"/>
      <x:c r="G10" s="30"/>
      <x:c r="H10" s="38"/>
      <x:c r="I10" s="38"/>
      <x:c r="J10" s="38"/>
      <x:c r="K10" s="30"/>
      <x:c r="L10" s="34"/>
      <x:c r="M10" s="30"/>
      <x:c r="N10" s="30"/>
    </x:row>
    <x:row r="11">
      <x:c r="A11" s="30"/>
      <x:c r="B11" s="30"/>
      <x:c r="C11" s="30"/>
      <x:c r="D11" s="30"/>
      <x:c r="E11" s="30"/>
      <x:c r="F11" s="30"/>
      <x:c r="G11" s="30"/>
      <x:c r="H11" s="38"/>
      <x:c r="I11" s="38"/>
      <x:c r="J11" s="38"/>
      <x:c r="K11" s="30"/>
      <x:c r="L11" s="34"/>
      <x:c r="M11" s="30"/>
      <x:c r="N11" s="30"/>
    </x:row>
    <x:row r="12">
      <x:c r="A12" s="30"/>
      <x:c r="B12" s="30"/>
      <x:c r="C12" s="30"/>
      <x:c r="D12" s="30"/>
      <x:c r="E12" s="30"/>
      <x:c r="F12" s="30"/>
      <x:c r="G12" s="30"/>
      <x:c r="H12" s="38"/>
      <x:c r="I12" s="38"/>
      <x:c r="J12" s="38"/>
      <x:c r="K12" s="30"/>
      <x:c r="L12" s="34"/>
      <x:c r="M12" s="30"/>
      <x:c r="N12" s="30"/>
    </x:row>
    <x:row r="13">
      <x:c r="A13" s="30"/>
      <x:c r="B13" s="30"/>
      <x:c r="C13" s="30"/>
      <x:c r="D13" s="30"/>
      <x:c r="E13" s="30"/>
      <x:c r="F13" s="30"/>
      <x:c r="G13" s="30"/>
      <x:c r="H13" s="38"/>
      <x:c r="I13" s="38"/>
      <x:c r="J13" s="38"/>
      <x:c r="K13" s="30"/>
      <x:c r="L13" s="34"/>
      <x:c r="M13" s="30"/>
      <x:c r="N13" s="30"/>
    </x:row>
    <x:row r="14">
      <x:c r="A14" s="30"/>
      <x:c r="B14" s="30"/>
      <x:c r="C14" s="30"/>
      <x:c r="D14" s="30"/>
      <x:c r="E14" s="30"/>
      <x:c r="F14" s="30"/>
      <x:c r="G14" s="30"/>
      <x:c r="H14" s="38"/>
      <x:c r="I14" s="38"/>
      <x:c r="J14" s="38"/>
      <x:c r="K14" s="30"/>
      <x:c r="L14" s="34"/>
      <x:c r="M14" s="30"/>
      <x:c r="N14" s="30"/>
    </x:row>
    <x:row r="15">
      <x:c r="A15" s="30"/>
      <x:c r="B15" s="30"/>
      <x:c r="C15" s="30"/>
      <x:c r="D15" s="30"/>
      <x:c r="E15" s="30"/>
      <x:c r="F15" s="30"/>
      <x:c r="G15" s="30"/>
      <x:c r="H15" s="38"/>
      <x:c r="I15" s="38"/>
      <x:c r="J15" s="38"/>
      <x:c r="K15" s="30"/>
      <x:c r="L15" s="34"/>
      <x:c r="M15" s="30"/>
      <x:c r="N15" s="30"/>
    </x:row>
    <x:row r="16">
      <x:c r="A16" s="30"/>
      <x:c r="B16" s="30"/>
      <x:c r="C16" s="30"/>
      <x:c r="D16" s="30"/>
      <x:c r="E16" s="30"/>
      <x:c r="F16" s="30"/>
      <x:c r="G16" s="30"/>
      <x:c r="H16" s="38"/>
      <x:c r="I16" s="38"/>
      <x:c r="J16" s="38"/>
      <x:c r="K16" s="30"/>
      <x:c r="L16" s="34"/>
      <x:c r="M16" s="30"/>
      <x:c r="N16" s="30"/>
    </x:row>
    <x:row r="17">
      <x:c r="A17" s="30"/>
      <x:c r="B17" s="30"/>
      <x:c r="C17" s="30"/>
      <x:c r="D17" s="30"/>
      <x:c r="E17" s="30"/>
      <x:c r="F17" s="30"/>
      <x:c r="G17" s="30"/>
      <x:c r="H17" s="38"/>
      <x:c r="I17" s="38"/>
      <x:c r="J17" s="38"/>
      <x:c r="K17" s="30"/>
      <x:c r="L17" s="34"/>
      <x:c r="M17" s="30"/>
      <x:c r="N17" s="30"/>
    </x:row>
    <x:row r="18">
      <x:c r="A18" s="30"/>
      <x:c r="B18" s="30"/>
      <x:c r="C18" s="30"/>
      <x:c r="D18" s="30"/>
      <x:c r="E18" s="30"/>
      <x:c r="F18" s="30"/>
      <x:c r="G18" s="30"/>
      <x:c r="H18" s="38"/>
      <x:c r="I18" s="38"/>
      <x:c r="J18" s="38"/>
      <x:c r="K18" s="30"/>
      <x:c r="L18" s="34"/>
      <x:c r="M18" s="30"/>
      <x:c r="N18" s="30"/>
    </x:row>
    <x:row r="19">
      <x:c r="A19" s="30"/>
      <x:c r="B19" s="30"/>
      <x:c r="C19" s="30"/>
      <x:c r="D19" s="30"/>
      <x:c r="E19" s="30"/>
      <x:c r="F19" s="30"/>
      <x:c r="G19" s="30"/>
      <x:c r="H19" s="38"/>
      <x:c r="I19" s="38"/>
      <x:c r="J19" s="38"/>
      <x:c r="K19" s="30"/>
      <x:c r="L19" s="34"/>
      <x:c r="M19" s="30"/>
      <x:c r="N19" s="30"/>
    </x:row>
    <x:row r="20">
      <x:c r="A20" s="30"/>
      <x:c r="B20" s="30"/>
      <x:c r="C20" s="30"/>
      <x:c r="D20" s="30"/>
      <x:c r="E20" s="30"/>
      <x:c r="F20" s="30"/>
      <x:c r="G20" s="30"/>
      <x:c r="H20" s="38"/>
      <x:c r="I20" s="38"/>
      <x:c r="J20" s="38"/>
      <x:c r="K20" s="30"/>
      <x:c r="L20" s="34"/>
      <x:c r="M20" s="30"/>
      <x:c r="N20" s="30"/>
    </x:row>
    <x:row r="21">
      <x:c r="A21" s="30"/>
      <x:c r="B21" s="30"/>
      <x:c r="C21" s="30"/>
      <x:c r="D21" s="30"/>
      <x:c r="E21" s="30"/>
      <x:c r="F21" s="30"/>
      <x:c r="G21" s="30"/>
      <x:c r="H21" s="38"/>
      <x:c r="I21" s="38"/>
      <x:c r="J21" s="38"/>
      <x:c r="K21" s="30"/>
      <x:c r="L21" s="34"/>
      <x:c r="M21" s="30"/>
      <x:c r="N21" s="30"/>
    </x:row>
    <x:row r="22">
      <x:c r="A22" s="30"/>
      <x:c r="B22" s="30"/>
      <x:c r="C22" s="30"/>
      <x:c r="D22" s="30"/>
      <x:c r="E22" s="30"/>
      <x:c r="F22" s="30"/>
      <x:c r="G22" s="30"/>
      <x:c r="H22" s="38"/>
      <x:c r="I22" s="38"/>
      <x:c r="J22" s="38"/>
      <x:c r="K22" s="30"/>
      <x:c r="L22" s="34"/>
      <x:c r="M22" s="30"/>
      <x:c r="N22" s="30"/>
    </x:row>
    <x:row r="23">
      <x:c r="A23" s="30"/>
      <x:c r="B23" s="30"/>
      <x:c r="C23" s="30"/>
      <x:c r="D23" s="30"/>
      <x:c r="E23" s="30"/>
      <x:c r="F23" s="30"/>
      <x:c r="G23" s="30"/>
      <x:c r="H23" s="38"/>
      <x:c r="I23" s="38"/>
      <x:c r="J23" s="38"/>
      <x:c r="K23" s="30"/>
      <x:c r="L23" s="34"/>
      <x:c r="M23" s="30"/>
      <x:c r="N23" s="30"/>
    </x:row>
    <x:row r="24">
      <x:c r="A24" s="30"/>
      <x:c r="B24" s="30"/>
      <x:c r="C24" s="30"/>
      <x:c r="D24" s="30"/>
      <x:c r="E24" s="30"/>
      <x:c r="F24" s="30"/>
      <x:c r="G24" s="30"/>
      <x:c r="H24" s="38"/>
      <x:c r="I24" s="38"/>
      <x:c r="J24" s="38"/>
      <x:c r="K24" s="30"/>
      <x:c r="L24" s="34"/>
      <x:c r="M24" s="30"/>
      <x:c r="N24" s="30"/>
    </x:row>
    <x:row r="25">
      <x:c r="A25" s="30"/>
      <x:c r="B25" s="30"/>
      <x:c r="C25" s="30"/>
      <x:c r="D25" s="30"/>
      <x:c r="E25" s="30"/>
      <x:c r="F25" s="30"/>
      <x:c r="G25" s="30"/>
      <x:c r="H25" s="38"/>
      <x:c r="I25" s="38"/>
      <x:c r="J25" s="38"/>
      <x:c r="K25" s="30"/>
      <x:c r="L25" s="34"/>
      <x:c r="M25" s="30"/>
      <x:c r="N25" s="30"/>
    </x:row>
    <x:row r="26">
      <x:c r="A26" s="30"/>
      <x:c r="B26" s="30"/>
      <x:c r="C26" s="30"/>
      <x:c r="D26" s="30"/>
      <x:c r="E26" s="30"/>
      <x:c r="F26" s="30"/>
      <x:c r="G26" s="30"/>
      <x:c r="H26" s="38"/>
      <x:c r="I26" s="38"/>
      <x:c r="J26" s="38"/>
      <x:c r="K26" s="30"/>
      <x:c r="L26" s="34"/>
      <x:c r="M26" s="30"/>
      <x:c r="N26" s="30"/>
    </x:row>
    <x:row r="27">
      <x:c r="A27" s="30"/>
      <x:c r="B27" s="30"/>
      <x:c r="C27" s="30"/>
      <x:c r="D27" s="30"/>
      <x:c r="E27" s="30"/>
      <x:c r="F27" s="30"/>
      <x:c r="G27" s="30"/>
      <x:c r="H27" s="38"/>
      <x:c r="I27" s="38"/>
      <x:c r="J27" s="38"/>
      <x:c r="K27" s="30"/>
      <x:c r="L27" s="34"/>
      <x:c r="M27" s="30"/>
      <x:c r="N27" s="30"/>
    </x:row>
    <x:row r="28">
      <x:c r="A28" s="30"/>
      <x:c r="B28" s="30"/>
      <x:c r="C28" s="30"/>
      <x:c r="D28" s="30"/>
      <x:c r="E28" s="30"/>
      <x:c r="F28" s="30"/>
      <x:c r="G28" s="30"/>
      <x:c r="H28" s="38"/>
      <x:c r="I28" s="38"/>
      <x:c r="J28" s="38"/>
      <x:c r="K28" s="30"/>
      <x:c r="L28" s="34"/>
      <x:c r="M28" s="30"/>
      <x:c r="N28" s="30"/>
    </x:row>
    <x:row r="29">
      <x:c r="A29" s="30"/>
      <x:c r="B29" s="30"/>
      <x:c r="C29" s="30"/>
      <x:c r="D29" s="30"/>
      <x:c r="E29" s="30"/>
      <x:c r="F29" s="30"/>
      <x:c r="G29" s="30"/>
      <x:c r="H29" s="38"/>
      <x:c r="I29" s="38"/>
      <x:c r="J29" s="38"/>
      <x:c r="K29" s="30"/>
      <x:c r="L29" s="34"/>
      <x:c r="M29" s="30"/>
      <x:c r="N29" s="30"/>
    </x:row>
    <x:row r="30">
      <x:c r="A30" s="30"/>
      <x:c r="B30" s="30"/>
      <x:c r="C30" s="30"/>
      <x:c r="D30" s="30"/>
      <x:c r="E30" s="30"/>
      <x:c r="F30" s="30"/>
      <x:c r="G30" s="30"/>
      <x:c r="H30" s="38"/>
      <x:c r="I30" s="38"/>
      <x:c r="J30" s="38"/>
      <x:c r="K30" s="30"/>
      <x:c r="L30" s="34"/>
      <x:c r="M30" s="30"/>
      <x:c r="N30" s="30"/>
    </x:row>
    <x:row r="31">
      <x:c r="A31" s="30"/>
      <x:c r="B31" s="30"/>
      <x:c r="C31" s="30"/>
      <x:c r="D31" s="30"/>
      <x:c r="E31" s="30"/>
      <x:c r="F31" s="30"/>
      <x:c r="G31" s="30"/>
      <x:c r="H31" s="38"/>
      <x:c r="I31" s="38"/>
      <x:c r="J31" s="38"/>
      <x:c r="K31" s="30"/>
      <x:c r="L31" s="34"/>
      <x:c r="M31" s="30"/>
      <x:c r="N31" s="30"/>
    </x:row>
    <x:row r="32">
      <x:c r="A32" s="30"/>
      <x:c r="B32" s="30"/>
      <x:c r="C32" s="30"/>
      <x:c r="D32" s="30"/>
      <x:c r="E32" s="30"/>
      <x:c r="F32" s="30"/>
      <x:c r="G32" s="30"/>
      <x:c r="H32" s="38"/>
      <x:c r="I32" s="38"/>
      <x:c r="J32" s="38"/>
      <x:c r="K32" s="30"/>
      <x:c r="L32" s="34"/>
      <x:c r="M32" s="30"/>
      <x:c r="N32" s="30"/>
    </x:row>
    <x:row r="33">
      <x:c r="A33" s="30"/>
      <x:c r="B33" s="30"/>
      <x:c r="C33" s="30"/>
      <x:c r="D33" s="30"/>
      <x:c r="E33" s="30"/>
      <x:c r="F33" s="30"/>
      <x:c r="G33" s="30"/>
      <x:c r="H33" s="38"/>
      <x:c r="I33" s="38"/>
      <x:c r="J33" s="38"/>
      <x:c r="K33" s="30"/>
      <x:c r="L33" s="34"/>
      <x:c r="M33" s="30"/>
      <x:c r="N33" s="30"/>
    </x:row>
    <x:row r="34">
      <x:c r="A34" s="30"/>
      <x:c r="B34" s="30"/>
      <x:c r="C34" s="30"/>
      <x:c r="D34" s="30"/>
      <x:c r="E34" s="30"/>
      <x:c r="F34" s="30"/>
      <x:c r="G34" s="30"/>
      <x:c r="H34" s="38"/>
      <x:c r="I34" s="38"/>
      <x:c r="J34" s="38"/>
      <x:c r="K34" s="30"/>
      <x:c r="L34" s="34"/>
      <x:c r="M34" s="30"/>
      <x:c r="N34" s="30"/>
    </x:row>
    <x:row r="35">
      <x:c r="A35" s="30"/>
      <x:c r="B35" s="30"/>
      <x:c r="C35" s="30"/>
      <x:c r="D35" s="30"/>
      <x:c r="E35" s="30"/>
      <x:c r="F35" s="30"/>
      <x:c r="G35" s="30"/>
      <x:c r="H35" s="38"/>
      <x:c r="I35" s="38"/>
      <x:c r="J35" s="38"/>
      <x:c r="K35" s="30"/>
      <x:c r="L35" s="34"/>
      <x:c r="M35" s="30"/>
      <x:c r="N35" s="30"/>
    </x:row>
    <x:row r="36">
      <x:c r="A36" s="30"/>
      <x:c r="B36" s="30"/>
      <x:c r="C36" s="30"/>
      <x:c r="D36" s="30"/>
      <x:c r="E36" s="30"/>
      <x:c r="F36" s="30"/>
      <x:c r="G36" s="30"/>
      <x:c r="H36" s="38"/>
      <x:c r="I36" s="38"/>
      <x:c r="J36" s="38"/>
      <x:c r="K36" s="30"/>
      <x:c r="L36" s="34"/>
      <x:c r="M36" s="30"/>
      <x:c r="N36" s="30"/>
    </x:row>
    <x:row r="37">
      <x:c r="A37" s="30"/>
      <x:c r="B37" s="30"/>
      <x:c r="C37" s="30"/>
      <x:c r="D37" s="30"/>
      <x:c r="E37" s="30"/>
      <x:c r="F37" s="30"/>
      <x:c r="G37" s="30"/>
      <x:c r="H37" s="38"/>
      <x:c r="I37" s="38"/>
      <x:c r="J37" s="38"/>
      <x:c r="K37" s="30"/>
      <x:c r="L37" s="34"/>
      <x:c r="M37" s="30"/>
      <x:c r="N37" s="30"/>
    </x:row>
    <x:row r="38">
      <x:c r="A38" s="30"/>
      <x:c r="B38" s="30"/>
      <x:c r="C38" s="30"/>
      <x:c r="D38" s="30"/>
      <x:c r="E38" s="30"/>
      <x:c r="F38" s="30"/>
      <x:c r="G38" s="30"/>
      <x:c r="H38" s="38"/>
      <x:c r="I38" s="38"/>
      <x:c r="J38" s="38"/>
      <x:c r="K38" s="30"/>
      <x:c r="L38" s="34"/>
      <x:c r="M38" s="30"/>
      <x:c r="N38" s="30"/>
    </x:row>
    <x:row r="39">
      <x:c r="A39" s="30"/>
      <x:c r="B39" s="30"/>
      <x:c r="C39" s="30"/>
      <x:c r="D39" s="30"/>
      <x:c r="E39" s="30"/>
      <x:c r="F39" s="30"/>
      <x:c r="G39" s="30"/>
      <x:c r="H39" s="38"/>
      <x:c r="I39" s="38"/>
      <x:c r="J39" s="38"/>
      <x:c r="K39" s="30"/>
      <x:c r="L39" s="34"/>
      <x:c r="M39" s="30"/>
      <x:c r="N39" s="30"/>
    </x:row>
    <x:row r="40">
      <x:c r="A40" s="30"/>
      <x:c r="B40" s="30"/>
      <x:c r="C40" s="30"/>
      <x:c r="D40" s="30"/>
      <x:c r="E40" s="30"/>
      <x:c r="F40" s="30"/>
      <x:c r="G40" s="30"/>
      <x:c r="H40" s="38"/>
      <x:c r="I40" s="38"/>
      <x:c r="J40" s="38"/>
      <x:c r="K40" s="30"/>
      <x:c r="L40" s="34"/>
      <x:c r="M40" s="30"/>
      <x:c r="N40" s="30"/>
    </x:row>
    <x:row r="41">
      <x:c r="A41" s="30"/>
      <x:c r="B41" s="30"/>
      <x:c r="C41" s="30"/>
      <x:c r="D41" s="30"/>
      <x:c r="E41" s="30"/>
      <x:c r="F41" s="30"/>
      <x:c r="G41" s="30"/>
      <x:c r="H41" s="38"/>
      <x:c r="I41" s="38"/>
      <x:c r="J41" s="38"/>
      <x:c r="K41" s="30"/>
      <x:c r="L41" s="34"/>
      <x:c r="M41" s="30"/>
      <x:c r="N41" s="30"/>
    </x:row>
    <x:row r="42">
      <x:c r="A42" s="30"/>
      <x:c r="B42" s="30"/>
      <x:c r="C42" s="30"/>
      <x:c r="D42" s="30"/>
      <x:c r="E42" s="30"/>
      <x:c r="F42" s="30"/>
      <x:c r="G42" s="30"/>
      <x:c r="H42" s="38"/>
      <x:c r="I42" s="38"/>
      <x:c r="J42" s="38"/>
      <x:c r="K42" s="30"/>
      <x:c r="L42" s="34"/>
      <x:c r="M42" s="30"/>
      <x:c r="N42" s="30"/>
    </x:row>
    <x:row r="43">
      <x:c r="A43" s="30"/>
      <x:c r="B43" s="30"/>
      <x:c r="C43" s="30"/>
      <x:c r="D43" s="30"/>
      <x:c r="E43" s="30"/>
      <x:c r="F43" s="30"/>
      <x:c r="G43" s="30"/>
      <x:c r="H43" s="38"/>
      <x:c r="I43" s="38"/>
      <x:c r="J43" s="38"/>
      <x:c r="K43" s="30"/>
      <x:c r="L43" s="34"/>
      <x:c r="M43" s="30"/>
      <x:c r="N43" s="30"/>
    </x:row>
    <x:row r="44">
      <x:c r="A44" s="30"/>
      <x:c r="B44" s="30"/>
      <x:c r="C44" s="30"/>
      <x:c r="D44" s="30"/>
      <x:c r="E44" s="30"/>
      <x:c r="F44" s="30"/>
      <x:c r="G44" s="30"/>
      <x:c r="H44" s="38"/>
      <x:c r="I44" s="38"/>
      <x:c r="J44" s="38"/>
      <x:c r="K44" s="30"/>
      <x:c r="L44" s="34"/>
      <x:c r="M44" s="30"/>
      <x:c r="N44" s="30"/>
    </x:row>
    <x:row r="45">
      <x:c r="A45" s="30"/>
      <x:c r="B45" s="30"/>
      <x:c r="C45" s="30"/>
      <x:c r="D45" s="30"/>
      <x:c r="E45" s="30"/>
      <x:c r="F45" s="30"/>
      <x:c r="G45" s="30"/>
      <x:c r="H45" s="38"/>
      <x:c r="I45" s="38"/>
      <x:c r="J45" s="38"/>
      <x:c r="K45" s="30"/>
      <x:c r="L45" s="34"/>
      <x:c r="M45" s="30"/>
      <x:c r="N45" s="30"/>
    </x:row>
    <x:row r="46">
      <x:c r="A46" s="30"/>
      <x:c r="B46" s="30"/>
      <x:c r="C46" s="30"/>
      <x:c r="D46" s="30"/>
      <x:c r="E46" s="30"/>
      <x:c r="F46" s="30"/>
      <x:c r="G46" s="30"/>
      <x:c r="H46" s="38"/>
      <x:c r="I46" s="38"/>
      <x:c r="J46" s="38"/>
      <x:c r="K46" s="30"/>
      <x:c r="L46" s="34"/>
      <x:c r="M46" s="30"/>
      <x:c r="N46" s="30"/>
    </x:row>
    <x:row r="47">
      <x:c r="A47" s="30"/>
      <x:c r="B47" s="30"/>
      <x:c r="C47" s="30"/>
      <x:c r="D47" s="30"/>
      <x:c r="E47" s="30"/>
      <x:c r="F47" s="30"/>
      <x:c r="G47" s="30"/>
      <x:c r="H47" s="38"/>
      <x:c r="I47" s="38"/>
      <x:c r="J47" s="38"/>
      <x:c r="K47" s="30"/>
      <x:c r="L47" s="34"/>
      <x:c r="M47" s="30"/>
      <x:c r="N47" s="30"/>
    </x:row>
    <x:row r="48">
      <x:c r="A48" s="30"/>
      <x:c r="B48" s="30"/>
      <x:c r="C48" s="30"/>
      <x:c r="D48" s="30"/>
      <x:c r="E48" s="30"/>
      <x:c r="F48" s="30"/>
      <x:c r="G48" s="30"/>
      <x:c r="H48" s="38"/>
      <x:c r="I48" s="38"/>
      <x:c r="J48" s="38"/>
      <x:c r="K48" s="30"/>
      <x:c r="L48" s="34"/>
      <x:c r="M48" s="30"/>
      <x:c r="N48" s="30"/>
    </x:row>
    <x:row r="49">
      <x:c r="A49" s="30"/>
      <x:c r="B49" s="30"/>
      <x:c r="C49" s="30"/>
      <x:c r="D49" s="30"/>
      <x:c r="E49" s="30"/>
      <x:c r="F49" s="30"/>
      <x:c r="G49" s="30"/>
      <x:c r="H49" s="38"/>
      <x:c r="I49" s="38"/>
      <x:c r="J49" s="38"/>
      <x:c r="K49" s="30"/>
      <x:c r="L49" s="34"/>
      <x:c r="M49" s="30"/>
      <x:c r="N49" s="30"/>
    </x:row>
    <x:row r="50">
      <x:c r="A50" s="30"/>
      <x:c r="B50" s="30"/>
      <x:c r="C50" s="30"/>
      <x:c r="D50" s="30"/>
      <x:c r="E50" s="30"/>
      <x:c r="F50" s="30"/>
      <x:c r="G50" s="30"/>
      <x:c r="H50" s="38"/>
      <x:c r="I50" s="38"/>
      <x:c r="J50" s="38"/>
      <x:c r="K50" s="30"/>
      <x:c r="L50" s="34"/>
      <x:c r="M50" s="30"/>
      <x:c r="N50" s="30"/>
    </x:row>
    <x:row r="51">
      <x:c r="A51" s="30"/>
      <x:c r="B51" s="30"/>
      <x:c r="C51" s="30"/>
      <x:c r="D51" s="30"/>
      <x:c r="E51" s="30"/>
      <x:c r="F51" s="30"/>
      <x:c r="G51" s="30"/>
      <x:c r="H51" s="38"/>
      <x:c r="I51" s="38"/>
      <x:c r="J51" s="38"/>
      <x:c r="K51" s="30"/>
      <x:c r="L51" s="34"/>
      <x:c r="M51" s="30"/>
      <x:c r="N51" s="30"/>
    </x:row>
    <x:row r="52">
      <x:c r="A52" s="30"/>
      <x:c r="B52" s="30"/>
      <x:c r="C52" s="30"/>
      <x:c r="D52" s="30"/>
      <x:c r="E52" s="30"/>
      <x:c r="F52" s="30"/>
      <x:c r="G52" s="30"/>
      <x:c r="H52" s="38"/>
      <x:c r="I52" s="38"/>
      <x:c r="J52" s="38"/>
      <x:c r="K52" s="30"/>
      <x:c r="L52" s="34"/>
      <x:c r="M52" s="30"/>
      <x:c r="N52" s="30"/>
    </x:row>
    <x:row r="53">
      <x:c r="A53" s="30"/>
      <x:c r="B53" s="30"/>
      <x:c r="C53" s="30"/>
      <x:c r="D53" s="30"/>
      <x:c r="E53" s="30"/>
      <x:c r="F53" s="30"/>
      <x:c r="G53" s="30"/>
      <x:c r="H53" s="38"/>
      <x:c r="I53" s="38"/>
      <x:c r="J53" s="38"/>
      <x:c r="K53" s="30"/>
      <x:c r="L53" s="34"/>
      <x:c r="M53" s="30"/>
      <x:c r="N53" s="30"/>
    </x:row>
    <x:row r="54">
      <x:c r="A54" s="30"/>
      <x:c r="B54" s="30"/>
      <x:c r="C54" s="30"/>
      <x:c r="D54" s="30"/>
      <x:c r="E54" s="30"/>
      <x:c r="F54" s="30"/>
      <x:c r="G54" s="30"/>
      <x:c r="H54" s="38"/>
      <x:c r="I54" s="38"/>
      <x:c r="J54" s="38"/>
      <x:c r="K54" s="30"/>
      <x:c r="L54" s="34"/>
      <x:c r="M54" s="30"/>
      <x:c r="N54" s="30"/>
    </x:row>
    <x:row r="55">
      <x:c r="A55" s="30"/>
      <x:c r="B55" s="30"/>
      <x:c r="C55" s="30"/>
      <x:c r="D55" s="30"/>
      <x:c r="E55" s="30"/>
      <x:c r="F55" s="30"/>
      <x:c r="G55" s="30"/>
      <x:c r="H55" s="38"/>
      <x:c r="I55" s="38"/>
      <x:c r="J55" s="38"/>
      <x:c r="K55" s="30"/>
      <x:c r="L55" s="34"/>
      <x:c r="M55" s="30"/>
      <x:c r="N55" s="30"/>
    </x:row>
    <x:row r="56">
      <x:c r="A56" s="30"/>
      <x:c r="B56" s="30"/>
      <x:c r="C56" s="30"/>
      <x:c r="D56" s="30"/>
      <x:c r="E56" s="30"/>
      <x:c r="F56" s="30"/>
      <x:c r="G56" s="30"/>
      <x:c r="H56" s="38"/>
      <x:c r="I56" s="38"/>
      <x:c r="J56" s="38"/>
      <x:c r="K56" s="30"/>
      <x:c r="L56" s="34"/>
      <x:c r="M56" s="30"/>
      <x:c r="N56" s="30"/>
    </x:row>
    <x:row r="57">
      <x:c r="A57" s="30"/>
      <x:c r="B57" s="30"/>
      <x:c r="C57" s="30"/>
      <x:c r="D57" s="30"/>
      <x:c r="E57" s="30"/>
      <x:c r="F57" s="30"/>
      <x:c r="G57" s="30"/>
      <x:c r="H57" s="38"/>
      <x:c r="I57" s="38"/>
      <x:c r="J57" s="38"/>
      <x:c r="K57" s="30"/>
      <x:c r="L57" s="34"/>
      <x:c r="M57" s="30"/>
      <x:c r="N57" s="30"/>
    </x:row>
    <x:row r="58">
      <x:c r="A58" s="30"/>
      <x:c r="B58" s="30"/>
      <x:c r="C58" s="30"/>
      <x:c r="D58" s="30"/>
      <x:c r="E58" s="30"/>
      <x:c r="F58" s="30"/>
      <x:c r="G58" s="30"/>
      <x:c r="H58" s="38"/>
      <x:c r="I58" s="38"/>
      <x:c r="J58" s="38"/>
      <x:c r="K58" s="30"/>
      <x:c r="L58" s="34"/>
      <x:c r="M58" s="30"/>
      <x:c r="N58" s="30"/>
    </x:row>
    <x:row r="59">
      <x:c r="A59" s="30"/>
      <x:c r="B59" s="30"/>
      <x:c r="C59" s="30"/>
      <x:c r="D59" s="30"/>
      <x:c r="E59" s="30"/>
      <x:c r="F59" s="30"/>
      <x:c r="G59" s="30"/>
      <x:c r="H59" s="38"/>
      <x:c r="I59" s="38"/>
      <x:c r="J59" s="38"/>
      <x:c r="K59" s="30"/>
      <x:c r="L59" s="34"/>
      <x:c r="M59" s="30"/>
      <x:c r="N59" s="30"/>
    </x:row>
    <x:row r="60">
      <x:c r="A60" s="30"/>
      <x:c r="B60" s="30"/>
      <x:c r="C60" s="30"/>
      <x:c r="D60" s="30"/>
      <x:c r="E60" s="30"/>
      <x:c r="F60" s="30"/>
      <x:c r="G60" s="30"/>
      <x:c r="H60" s="38"/>
      <x:c r="I60" s="38"/>
      <x:c r="J60" s="38"/>
      <x:c r="K60" s="30"/>
      <x:c r="L60" s="34"/>
      <x:c r="M60" s="30"/>
      <x:c r="N60" s="30"/>
    </x:row>
    <x:row r="61">
      <x:c r="A61" s="30"/>
      <x:c r="B61" s="30"/>
      <x:c r="C61" s="30"/>
      <x:c r="D61" s="30"/>
      <x:c r="E61" s="30"/>
      <x:c r="F61" s="30"/>
      <x:c r="G61" s="30"/>
      <x:c r="H61" s="38"/>
      <x:c r="I61" s="38"/>
      <x:c r="J61" s="38"/>
      <x:c r="K61" s="30"/>
      <x:c r="L61" s="34"/>
      <x:c r="M61" s="30"/>
      <x:c r="N61" s="30"/>
    </x:row>
    <x:row r="62">
      <x:c r="A62" s="30"/>
      <x:c r="B62" s="30"/>
      <x:c r="C62" s="30"/>
      <x:c r="D62" s="30"/>
      <x:c r="E62" s="30"/>
      <x:c r="F62" s="30"/>
      <x:c r="G62" s="30"/>
      <x:c r="H62" s="38"/>
      <x:c r="I62" s="38"/>
      <x:c r="J62" s="38"/>
      <x:c r="K62" s="30"/>
      <x:c r="L62" s="34"/>
      <x:c r="M62" s="30"/>
      <x:c r="N62" s="30"/>
    </x:row>
    <x:row r="63">
      <x:c r="A63" s="30"/>
      <x:c r="B63" s="30"/>
      <x:c r="C63" s="30"/>
      <x:c r="D63" s="30"/>
      <x:c r="E63" s="30"/>
      <x:c r="F63" s="30"/>
      <x:c r="G63" s="30"/>
      <x:c r="H63" s="38"/>
      <x:c r="I63" s="38"/>
      <x:c r="J63" s="38"/>
      <x:c r="K63" s="30"/>
      <x:c r="L63" s="34"/>
      <x:c r="M63" s="30"/>
      <x:c r="N63" s="30"/>
    </x:row>
    <x:row r="64">
      <x:c r="A64" s="30"/>
      <x:c r="B64" s="30"/>
      <x:c r="C64" s="30"/>
      <x:c r="D64" s="30"/>
      <x:c r="E64" s="30"/>
      <x:c r="F64" s="30"/>
      <x:c r="G64" s="30"/>
      <x:c r="H64" s="38"/>
      <x:c r="I64" s="38"/>
      <x:c r="J64" s="38"/>
      <x:c r="K64" s="30"/>
      <x:c r="L64" s="34"/>
      <x:c r="M64" s="30"/>
      <x:c r="N64" s="30"/>
    </x:row>
    <x:row r="65">
      <x:c r="A65" s="30"/>
      <x:c r="B65" s="30"/>
      <x:c r="C65" s="30"/>
      <x:c r="D65" s="30"/>
      <x:c r="E65" s="30"/>
      <x:c r="F65" s="30"/>
      <x:c r="G65" s="30"/>
      <x:c r="H65" s="38"/>
      <x:c r="I65" s="38"/>
      <x:c r="J65" s="38"/>
      <x:c r="K65" s="30"/>
      <x:c r="L65" s="34"/>
      <x:c r="M65" s="30"/>
      <x:c r="N65" s="30"/>
    </x:row>
    <x:row r="66">
      <x:c r="A66" s="30"/>
      <x:c r="B66" s="30"/>
      <x:c r="C66" s="30"/>
      <x:c r="D66" s="30"/>
      <x:c r="E66" s="30"/>
      <x:c r="F66" s="30"/>
      <x:c r="G66" s="30"/>
      <x:c r="H66" s="38"/>
      <x:c r="I66" s="38"/>
      <x:c r="J66" s="38"/>
      <x:c r="K66" s="30"/>
      <x:c r="L66" s="34"/>
      <x:c r="M66" s="30"/>
      <x:c r="N66" s="30"/>
    </x:row>
    <x:row r="67">
      <x:c r="A67" s="30"/>
      <x:c r="B67" s="30"/>
      <x:c r="C67" s="30"/>
      <x:c r="D67" s="30"/>
      <x:c r="E67" s="30"/>
      <x:c r="F67" s="30"/>
      <x:c r="G67" s="30"/>
      <x:c r="H67" s="38"/>
      <x:c r="I67" s="38"/>
      <x:c r="J67" s="38"/>
      <x:c r="K67" s="30"/>
      <x:c r="L67" s="34"/>
      <x:c r="M67" s="30"/>
      <x:c r="N67" s="30"/>
    </x:row>
    <x:row r="68">
      <x:c r="A68" s="30"/>
      <x:c r="B68" s="30"/>
      <x:c r="C68" s="30"/>
      <x:c r="D68" s="30"/>
      <x:c r="E68" s="30"/>
      <x:c r="F68" s="30"/>
      <x:c r="G68" s="30"/>
      <x:c r="H68" s="38"/>
      <x:c r="I68" s="38"/>
      <x:c r="J68" s="38"/>
      <x:c r="K68" s="30"/>
      <x:c r="L68" s="34"/>
      <x:c r="M68" s="30"/>
      <x:c r="N68" s="30"/>
    </x:row>
    <x:row r="69">
      <x:c r="A69" s="30"/>
      <x:c r="B69" s="30"/>
      <x:c r="C69" s="30"/>
      <x:c r="D69" s="30"/>
      <x:c r="E69" s="30"/>
      <x:c r="F69" s="30"/>
      <x:c r="G69" s="30"/>
      <x:c r="H69" s="38"/>
      <x:c r="I69" s="38"/>
      <x:c r="J69" s="38"/>
      <x:c r="K69" s="30"/>
      <x:c r="L69" s="34"/>
      <x:c r="M69" s="30"/>
      <x:c r="N69" s="30"/>
    </x:row>
    <x:row r="70">
      <x:c r="A70" s="30"/>
      <x:c r="B70" s="30"/>
      <x:c r="C70" s="30"/>
      <x:c r="D70" s="30"/>
      <x:c r="E70" s="30"/>
      <x:c r="F70" s="30"/>
      <x:c r="G70" s="30"/>
      <x:c r="H70" s="38"/>
      <x:c r="I70" s="38"/>
      <x:c r="J70" s="38"/>
      <x:c r="K70" s="30"/>
      <x:c r="L70" s="34"/>
      <x:c r="M70" s="30"/>
      <x:c r="N70" s="30"/>
    </x:row>
    <x:row r="71">
      <x:c r="A71" s="30"/>
      <x:c r="B71" s="30"/>
      <x:c r="C71" s="30"/>
      <x:c r="D71" s="30"/>
      <x:c r="E71" s="30"/>
      <x:c r="F71" s="30"/>
      <x:c r="G71" s="30"/>
      <x:c r="H71" s="38"/>
      <x:c r="I71" s="38"/>
      <x:c r="J71" s="38"/>
      <x:c r="K71" s="30"/>
      <x:c r="L71" s="34"/>
      <x:c r="M71" s="30"/>
      <x:c r="N71" s="30"/>
    </x:row>
    <x:row r="72">
      <x:c r="A72" s="30"/>
      <x:c r="B72" s="30"/>
      <x:c r="C72" s="30"/>
      <x:c r="D72" s="30"/>
      <x:c r="E72" s="30"/>
      <x:c r="F72" s="30"/>
      <x:c r="G72" s="30"/>
      <x:c r="H72" s="38"/>
      <x:c r="I72" s="38"/>
      <x:c r="J72" s="38"/>
      <x:c r="K72" s="30"/>
      <x:c r="L72" s="34"/>
      <x:c r="M72" s="30"/>
      <x:c r="N72" s="30"/>
    </x:row>
    <x:row r="73">
      <x:c r="A73" s="30"/>
      <x:c r="B73" s="30"/>
      <x:c r="C73" s="30"/>
      <x:c r="D73" s="30"/>
      <x:c r="E73" s="30"/>
      <x:c r="F73" s="30"/>
      <x:c r="G73" s="30"/>
      <x:c r="H73" s="38"/>
      <x:c r="I73" s="38"/>
      <x:c r="J73" s="38"/>
      <x:c r="K73" s="30"/>
      <x:c r="L73" s="34"/>
      <x:c r="M73" s="30"/>
      <x:c r="N73" s="30"/>
    </x:row>
    <x:row r="74">
      <x:c r="A74" s="30"/>
      <x:c r="B74" s="30"/>
      <x:c r="C74" s="30"/>
      <x:c r="D74" s="30"/>
      <x:c r="E74" s="30"/>
      <x:c r="F74" s="30"/>
      <x:c r="G74" s="30"/>
      <x:c r="H74" s="38"/>
      <x:c r="I74" s="38"/>
      <x:c r="J74" s="38"/>
      <x:c r="K74" s="30"/>
      <x:c r="L74" s="34"/>
      <x:c r="M74" s="30"/>
      <x:c r="N74" s="30"/>
    </x:row>
    <x:row r="75">
      <x:c r="A75" s="30"/>
      <x:c r="B75" s="30"/>
      <x:c r="C75" s="30"/>
      <x:c r="D75" s="30"/>
      <x:c r="E75" s="30"/>
      <x:c r="F75" s="30"/>
      <x:c r="G75" s="30"/>
      <x:c r="H75" s="38"/>
      <x:c r="I75" s="38"/>
      <x:c r="J75" s="38"/>
      <x:c r="K75" s="30"/>
      <x:c r="L75" s="34"/>
      <x:c r="M75" s="30"/>
      <x:c r="N75" s="30"/>
    </x:row>
    <x:row r="76">
      <x:c r="A76" s="30"/>
      <x:c r="B76" s="30"/>
      <x:c r="C76" s="30"/>
      <x:c r="D76" s="30"/>
      <x:c r="E76" s="30"/>
      <x:c r="F76" s="30"/>
      <x:c r="G76" s="30"/>
      <x:c r="H76" s="38"/>
      <x:c r="I76" s="38"/>
      <x:c r="J76" s="38"/>
      <x:c r="K76" s="30"/>
      <x:c r="L76" s="34"/>
      <x:c r="M76" s="30"/>
      <x:c r="N76" s="30"/>
    </x:row>
    <x:row r="77">
      <x:c r="A77" s="30"/>
      <x:c r="B77" s="30"/>
      <x:c r="C77" s="30"/>
      <x:c r="D77" s="30"/>
      <x:c r="E77" s="30"/>
      <x:c r="F77" s="30"/>
      <x:c r="G77" s="30"/>
      <x:c r="H77" s="38"/>
      <x:c r="I77" s="38"/>
      <x:c r="J77" s="38"/>
      <x:c r="K77" s="30"/>
      <x:c r="L77" s="34"/>
      <x:c r="M77" s="30"/>
      <x:c r="N77" s="30"/>
    </x:row>
    <x:row r="78">
      <x:c r="A78" s="30"/>
      <x:c r="B78" s="30"/>
      <x:c r="C78" s="30"/>
      <x:c r="D78" s="30"/>
      <x:c r="E78" s="30"/>
      <x:c r="F78" s="30"/>
      <x:c r="G78" s="30"/>
      <x:c r="H78" s="38"/>
      <x:c r="I78" s="38"/>
      <x:c r="J78" s="38"/>
      <x:c r="K78" s="30"/>
      <x:c r="L78" s="34"/>
      <x:c r="M78" s="30"/>
      <x:c r="N78" s="30"/>
    </x:row>
    <x:row r="79">
      <x:c r="A79" s="30"/>
      <x:c r="B79" s="30"/>
      <x:c r="C79" s="30"/>
      <x:c r="D79" s="30"/>
      <x:c r="E79" s="30"/>
      <x:c r="F79" s="30"/>
      <x:c r="G79" s="30"/>
      <x:c r="H79" s="38"/>
      <x:c r="I79" s="38"/>
      <x:c r="J79" s="38"/>
      <x:c r="K79" s="30"/>
      <x:c r="L79" s="34"/>
      <x:c r="M79" s="30"/>
      <x:c r="N79" s="30"/>
    </x:row>
    <x:row r="80">
      <x:c r="A80" s="30"/>
      <x:c r="B80" s="30"/>
      <x:c r="C80" s="30"/>
      <x:c r="D80" s="30"/>
      <x:c r="E80" s="30"/>
      <x:c r="F80" s="30"/>
      <x:c r="G80" s="30"/>
      <x:c r="H80" s="38"/>
      <x:c r="I80" s="38"/>
      <x:c r="J80" s="38"/>
      <x:c r="K80" s="30"/>
      <x:c r="L80" s="34"/>
      <x:c r="M80" s="30"/>
      <x:c r="N80" s="30"/>
    </x:row>
  </x:sheetData>
  <x:mergeCells>
    <x:mergeCell ref="A1:H2"/>
    <x:mergeCell ref="A3:H3"/>
  </x:mergeCells>
  <x:dataValidations count="1">
    <x:dataValidation type="list" sqref="D7:D80">
      <x:formula1>'19_CONFIG_LISTAS'!$E$7:$E$14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2" hidden="0" customWidth="1"/>
    <x:col min="3" max="3" width="28" hidden="0" customWidth="1"/>
    <x:col min="4" max="4" width="28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  <x:col min="10" max="10" width="36" hidden="0" customWidth="1"/>
  </x:cols>
  <x:sheetData>
    <x:row r="1">
      <x:c r="A1" s="4" t="str">
        <x:v>BACKLOG DE IDEIAS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Captura de ideias ainda não aprovadas. Ideia ≠ conteúdo comprometido.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Idea_ID</x:v>
      </x:c>
      <x:c r="B6" s="23" t="str">
        <x:v>Ideia / pergunta</x:v>
      </x:c>
      <x:c r="C6" s="23" t="str">
        <x:v>Origem</x:v>
      </x:c>
      <x:c r="D6" s="23" t="str">
        <x:v>Rota possível</x:v>
      </x:c>
      <x:c r="E6" s="23" t="str">
        <x:v>Oportunidade</x:v>
      </x:c>
      <x:c r="F6" s="23" t="str">
        <x:v>Prioridade</x:v>
      </x:c>
      <x:c r="G6" s="23" t="str">
        <x:v>Status</x:v>
      </x:c>
      <x:c r="H6" s="23" t="str">
        <x:v>Data captura</x:v>
      </x:c>
      <x:c r="I6" s="23" t="str">
        <x:v>Próxima ação</x:v>
      </x:c>
      <x:c r="J6" s="23" t="str">
        <x:v>Notas</x:v>
      </x:c>
    </x:row>
    <x:row r="7">
      <x:c r="A7" s="30" t="str">
        <x:v>IDE-RC-0001</x:v>
      </x:c>
      <x:c r="B7" s="30" t="str">
        <x:v>O problema da expressão erro humano</x:v>
      </x:c>
      <x:c r="C7" s="30" t="str">
        <x:v>Derivado Artigo 1</x:v>
      </x:c>
      <x:c r="D7" s="30" t="str">
        <x:v>Risco Cognitivo</x:v>
      </x:c>
      <x:c r="E7" s="30" t="str">
        <x:v>Pode virar Short + LinkedIn</x:v>
      </x:c>
      <x:c r="F7" s="30" t="str">
        <x:v>ALTA</x:v>
      </x:c>
      <x:c r="G7" s="30" t="str">
        <x:v>TRIAGEM</x:v>
      </x:c>
      <x:c r="H7" s="34" t="str">
        <x:v>2026-09-01</x:v>
      </x:c>
      <x:c r="I7" s="30" t="str">
        <x:v>Validar prior art</x:v>
      </x:c>
      <x:c r="J7" s="30" t="str"/>
    </x:row>
    <x:row r="8">
      <x:c r="A8" s="30" t="str">
        <x:v>IDE-RC-0002</x:v>
      </x:c>
      <x:c r="B8" s="30" t="str">
        <x:v>Automation bias como fator de risco cognitivo</x:v>
      </x:c>
      <x:c r="C8" s="30" t="str">
        <x:v>Pesquisa IA</x:v>
      </x:c>
      <x:c r="D8" s="30" t="str">
        <x:v>Fatores de Risco Cognitivo</x:v>
      </x:c>
      <x:c r="E8" s="30" t="str">
        <x:v>Conecta IA e risco</x:v>
      </x:c>
      <x:c r="F8" s="30" t="str">
        <x:v>ALTA</x:v>
      </x:c>
      <x:c r="G8" s="30" t="str">
        <x:v>IDEIA</x:v>
      </x:c>
      <x:c r="H8" s="34" t="str">
        <x:v>2026-09-01</x:v>
      </x:c>
      <x:c r="I8" s="30" t="str">
        <x:v>Buscar literatura científica</x:v>
      </x:c>
      <x:c r="J8" s="30" t="str"/>
    </x:row>
    <x:row r="9">
      <x:c r="A9" s="30"/>
      <x:c r="B9" s="30"/>
      <x:c r="C9" s="30"/>
      <x:c r="D9" s="30"/>
      <x:c r="E9" s="30"/>
      <x:c r="F9" s="30"/>
      <x:c r="G9" s="30"/>
      <x:c r="H9" s="34"/>
      <x:c r="I9" s="30"/>
      <x:c r="J9" s="30"/>
    </x:row>
    <x:row r="10">
      <x:c r="A10" s="30"/>
      <x:c r="B10" s="30"/>
      <x:c r="C10" s="30"/>
      <x:c r="D10" s="30"/>
      <x:c r="E10" s="30"/>
      <x:c r="F10" s="30"/>
      <x:c r="G10" s="30"/>
      <x:c r="H10" s="34"/>
      <x:c r="I10" s="30"/>
      <x:c r="J10" s="30"/>
    </x:row>
    <x:row r="11">
      <x:c r="A11" s="30"/>
      <x:c r="B11" s="30"/>
      <x:c r="C11" s="30"/>
      <x:c r="D11" s="30"/>
      <x:c r="E11" s="30"/>
      <x:c r="F11" s="30"/>
      <x:c r="G11" s="30"/>
      <x:c r="H11" s="34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0"/>
      <x:c r="H12" s="34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0"/>
      <x:c r="H13" s="34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0"/>
      <x:c r="H14" s="34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0"/>
      <x:c r="H15" s="34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0"/>
      <x:c r="H16" s="34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0"/>
      <x:c r="H17" s="34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0"/>
      <x:c r="H18" s="34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0"/>
      <x:c r="H19" s="34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0"/>
      <x:c r="H20" s="34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0"/>
      <x:c r="H21" s="34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0"/>
      <x:c r="H22" s="34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0"/>
      <x:c r="H23" s="34"/>
      <x:c r="I23" s="30"/>
      <x:c r="J23" s="30"/>
    </x:row>
    <x:row r="24">
      <x:c r="A24" s="30"/>
      <x:c r="B24" s="30"/>
      <x:c r="C24" s="30"/>
      <x:c r="D24" s="30"/>
      <x:c r="E24" s="30"/>
      <x:c r="F24" s="30"/>
      <x:c r="G24" s="30"/>
      <x:c r="H24" s="34"/>
      <x:c r="I24" s="30"/>
      <x:c r="J24" s="30"/>
    </x:row>
    <x:row r="25">
      <x:c r="A25" s="30"/>
      <x:c r="B25" s="30"/>
      <x:c r="C25" s="30"/>
      <x:c r="D25" s="30"/>
      <x:c r="E25" s="30"/>
      <x:c r="F25" s="30"/>
      <x:c r="G25" s="30"/>
      <x:c r="H25" s="34"/>
      <x:c r="I25" s="30"/>
      <x:c r="J25" s="30"/>
    </x:row>
    <x:row r="26">
      <x:c r="A26" s="30"/>
      <x:c r="B26" s="30"/>
      <x:c r="C26" s="30"/>
      <x:c r="D26" s="30"/>
      <x:c r="E26" s="30"/>
      <x:c r="F26" s="30"/>
      <x:c r="G26" s="30"/>
      <x:c r="H26" s="34"/>
      <x:c r="I26" s="30"/>
      <x:c r="J26" s="30"/>
    </x:row>
    <x:row r="27">
      <x:c r="A27" s="30"/>
      <x:c r="B27" s="30"/>
      <x:c r="C27" s="30"/>
      <x:c r="D27" s="30"/>
      <x:c r="E27" s="30"/>
      <x:c r="F27" s="30"/>
      <x:c r="G27" s="30"/>
      <x:c r="H27" s="34"/>
      <x:c r="I27" s="30"/>
      <x:c r="J27" s="30"/>
    </x:row>
    <x:row r="28">
      <x:c r="A28" s="30"/>
      <x:c r="B28" s="30"/>
      <x:c r="C28" s="30"/>
      <x:c r="D28" s="30"/>
      <x:c r="E28" s="30"/>
      <x:c r="F28" s="30"/>
      <x:c r="G28" s="30"/>
      <x:c r="H28" s="34"/>
      <x:c r="I28" s="30"/>
      <x:c r="J28" s="30"/>
    </x:row>
    <x:row r="29">
      <x:c r="A29" s="30"/>
      <x:c r="B29" s="30"/>
      <x:c r="C29" s="30"/>
      <x:c r="D29" s="30"/>
      <x:c r="E29" s="30"/>
      <x:c r="F29" s="30"/>
      <x:c r="G29" s="30"/>
      <x:c r="H29" s="34"/>
      <x:c r="I29" s="30"/>
      <x:c r="J29" s="30"/>
    </x:row>
    <x:row r="30">
      <x:c r="A30" s="30"/>
      <x:c r="B30" s="30"/>
      <x:c r="C30" s="30"/>
      <x:c r="D30" s="30"/>
      <x:c r="E30" s="30"/>
      <x:c r="F30" s="30"/>
      <x:c r="G30" s="30"/>
      <x:c r="H30" s="34"/>
      <x:c r="I30" s="30"/>
      <x:c r="J30" s="30"/>
    </x:row>
    <x:row r="31">
      <x:c r="A31" s="30"/>
      <x:c r="B31" s="30"/>
      <x:c r="C31" s="30"/>
      <x:c r="D31" s="30"/>
      <x:c r="E31" s="30"/>
      <x:c r="F31" s="30"/>
      <x:c r="G31" s="30"/>
      <x:c r="H31" s="34"/>
      <x:c r="I31" s="30"/>
      <x:c r="J31" s="30"/>
    </x:row>
    <x:row r="32">
      <x:c r="A32" s="30"/>
      <x:c r="B32" s="30"/>
      <x:c r="C32" s="30"/>
      <x:c r="D32" s="30"/>
      <x:c r="E32" s="30"/>
      <x:c r="F32" s="30"/>
      <x:c r="G32" s="30"/>
      <x:c r="H32" s="34"/>
      <x:c r="I32" s="30"/>
      <x:c r="J32" s="30"/>
    </x:row>
    <x:row r="33">
      <x:c r="A33" s="30"/>
      <x:c r="B33" s="30"/>
      <x:c r="C33" s="30"/>
      <x:c r="D33" s="30"/>
      <x:c r="E33" s="30"/>
      <x:c r="F33" s="30"/>
      <x:c r="G33" s="30"/>
      <x:c r="H33" s="34"/>
      <x:c r="I33" s="30"/>
      <x:c r="J33" s="30"/>
    </x:row>
    <x:row r="34">
      <x:c r="A34" s="30"/>
      <x:c r="B34" s="30"/>
      <x:c r="C34" s="30"/>
      <x:c r="D34" s="30"/>
      <x:c r="E34" s="30"/>
      <x:c r="F34" s="30"/>
      <x:c r="G34" s="30"/>
      <x:c r="H34" s="34"/>
      <x:c r="I34" s="30"/>
      <x:c r="J34" s="30"/>
    </x:row>
    <x:row r="35">
      <x:c r="A35" s="30"/>
      <x:c r="B35" s="30"/>
      <x:c r="C35" s="30"/>
      <x:c r="D35" s="30"/>
      <x:c r="E35" s="30"/>
      <x:c r="F35" s="30"/>
      <x:c r="G35" s="30"/>
      <x:c r="H35" s="34"/>
      <x:c r="I35" s="30"/>
      <x:c r="J35" s="30"/>
    </x:row>
    <x:row r="36">
      <x:c r="A36" s="30"/>
      <x:c r="B36" s="30"/>
      <x:c r="C36" s="30"/>
      <x:c r="D36" s="30"/>
      <x:c r="E36" s="30"/>
      <x:c r="F36" s="30"/>
      <x:c r="G36" s="30"/>
      <x:c r="H36" s="34"/>
      <x:c r="I36" s="30"/>
      <x:c r="J36" s="30"/>
    </x:row>
    <x:row r="37">
      <x:c r="A37" s="30"/>
      <x:c r="B37" s="30"/>
      <x:c r="C37" s="30"/>
      <x:c r="D37" s="30"/>
      <x:c r="E37" s="30"/>
      <x:c r="F37" s="30"/>
      <x:c r="G37" s="30"/>
      <x:c r="H37" s="34"/>
      <x:c r="I37" s="30"/>
      <x:c r="J37" s="30"/>
    </x:row>
    <x:row r="38">
      <x:c r="A38" s="30"/>
      <x:c r="B38" s="30"/>
      <x:c r="C38" s="30"/>
      <x:c r="D38" s="30"/>
      <x:c r="E38" s="30"/>
      <x:c r="F38" s="30"/>
      <x:c r="G38" s="30"/>
      <x:c r="H38" s="34"/>
      <x:c r="I38" s="30"/>
      <x:c r="J38" s="30"/>
    </x:row>
    <x:row r="39">
      <x:c r="A39" s="30"/>
      <x:c r="B39" s="30"/>
      <x:c r="C39" s="30"/>
      <x:c r="D39" s="30"/>
      <x:c r="E39" s="30"/>
      <x:c r="F39" s="30"/>
      <x:c r="G39" s="30"/>
      <x:c r="H39" s="34"/>
      <x:c r="I39" s="30"/>
      <x:c r="J39" s="30"/>
    </x:row>
    <x:row r="40">
      <x:c r="A40" s="30"/>
      <x:c r="B40" s="30"/>
      <x:c r="C40" s="30"/>
      <x:c r="D40" s="30"/>
      <x:c r="E40" s="30"/>
      <x:c r="F40" s="30"/>
      <x:c r="G40" s="30"/>
      <x:c r="H40" s="34"/>
      <x:c r="I40" s="30"/>
      <x:c r="J40" s="30"/>
    </x:row>
    <x:row r="41">
      <x:c r="A41" s="30"/>
      <x:c r="B41" s="30"/>
      <x:c r="C41" s="30"/>
      <x:c r="D41" s="30"/>
      <x:c r="E41" s="30"/>
      <x:c r="F41" s="30"/>
      <x:c r="G41" s="30"/>
      <x:c r="H41" s="34"/>
      <x:c r="I41" s="30"/>
      <x:c r="J41" s="30"/>
    </x:row>
    <x:row r="42">
      <x:c r="A42" s="30"/>
      <x:c r="B42" s="30"/>
      <x:c r="C42" s="30"/>
      <x:c r="D42" s="30"/>
      <x:c r="E42" s="30"/>
      <x:c r="F42" s="30"/>
      <x:c r="G42" s="30"/>
      <x:c r="H42" s="34"/>
      <x:c r="I42" s="30"/>
      <x:c r="J42" s="30"/>
    </x:row>
    <x:row r="43">
      <x:c r="A43" s="30"/>
      <x:c r="B43" s="30"/>
      <x:c r="C43" s="30"/>
      <x:c r="D43" s="30"/>
      <x:c r="E43" s="30"/>
      <x:c r="F43" s="30"/>
      <x:c r="G43" s="30"/>
      <x:c r="H43" s="34"/>
      <x:c r="I43" s="30"/>
      <x:c r="J43" s="30"/>
    </x:row>
    <x:row r="44">
      <x:c r="A44" s="30"/>
      <x:c r="B44" s="30"/>
      <x:c r="C44" s="30"/>
      <x:c r="D44" s="30"/>
      <x:c r="E44" s="30"/>
      <x:c r="F44" s="30"/>
      <x:c r="G44" s="30"/>
      <x:c r="H44" s="34"/>
      <x:c r="I44" s="30"/>
      <x:c r="J44" s="30"/>
    </x:row>
    <x:row r="45">
      <x:c r="A45" s="30"/>
      <x:c r="B45" s="30"/>
      <x:c r="C45" s="30"/>
      <x:c r="D45" s="30"/>
      <x:c r="E45" s="30"/>
      <x:c r="F45" s="30"/>
      <x:c r="G45" s="30"/>
      <x:c r="H45" s="34"/>
      <x:c r="I45" s="30"/>
      <x:c r="J45" s="30"/>
    </x:row>
    <x:row r="46">
      <x:c r="A46" s="30"/>
      <x:c r="B46" s="30"/>
      <x:c r="C46" s="30"/>
      <x:c r="D46" s="30"/>
      <x:c r="E46" s="30"/>
      <x:c r="F46" s="30"/>
      <x:c r="G46" s="30"/>
      <x:c r="H46" s="34"/>
      <x:c r="I46" s="30"/>
      <x:c r="J46" s="30"/>
    </x:row>
    <x:row r="47">
      <x:c r="A47" s="30"/>
      <x:c r="B47" s="30"/>
      <x:c r="C47" s="30"/>
      <x:c r="D47" s="30"/>
      <x:c r="E47" s="30"/>
      <x:c r="F47" s="30"/>
      <x:c r="G47" s="30"/>
      <x:c r="H47" s="34"/>
      <x:c r="I47" s="30"/>
      <x:c r="J47" s="30"/>
    </x:row>
    <x:row r="48">
      <x:c r="A48" s="30"/>
      <x:c r="B48" s="30"/>
      <x:c r="C48" s="30"/>
      <x:c r="D48" s="30"/>
      <x:c r="E48" s="30"/>
      <x:c r="F48" s="30"/>
      <x:c r="G48" s="30"/>
      <x:c r="H48" s="34"/>
      <x:c r="I48" s="30"/>
      <x:c r="J48" s="30"/>
    </x:row>
    <x:row r="49">
      <x:c r="A49" s="30"/>
      <x:c r="B49" s="30"/>
      <x:c r="C49" s="30"/>
      <x:c r="D49" s="30"/>
      <x:c r="E49" s="30"/>
      <x:c r="F49" s="30"/>
      <x:c r="G49" s="30"/>
      <x:c r="H49" s="34"/>
      <x:c r="I49" s="30"/>
      <x:c r="J49" s="30"/>
    </x:row>
    <x:row r="50">
      <x:c r="A50" s="30"/>
      <x:c r="B50" s="30"/>
      <x:c r="C50" s="30"/>
      <x:c r="D50" s="30"/>
      <x:c r="E50" s="30"/>
      <x:c r="F50" s="30"/>
      <x:c r="G50" s="30"/>
      <x:c r="H50" s="34"/>
      <x:c r="I50" s="30"/>
      <x:c r="J50" s="30"/>
    </x:row>
    <x:row r="51">
      <x:c r="A51" s="30"/>
      <x:c r="B51" s="30"/>
      <x:c r="C51" s="30"/>
      <x:c r="D51" s="30"/>
      <x:c r="E51" s="30"/>
      <x:c r="F51" s="30"/>
      <x:c r="G51" s="30"/>
      <x:c r="H51" s="34"/>
      <x:c r="I51" s="30"/>
      <x:c r="J51" s="30"/>
    </x:row>
    <x:row r="52">
      <x:c r="A52" s="30"/>
      <x:c r="B52" s="30"/>
      <x:c r="C52" s="30"/>
      <x:c r="D52" s="30"/>
      <x:c r="E52" s="30"/>
      <x:c r="F52" s="30"/>
      <x:c r="G52" s="30"/>
      <x:c r="H52" s="34"/>
      <x:c r="I52" s="30"/>
      <x:c r="J52" s="30"/>
    </x:row>
    <x:row r="53">
      <x:c r="A53" s="30"/>
      <x:c r="B53" s="30"/>
      <x:c r="C53" s="30"/>
      <x:c r="D53" s="30"/>
      <x:c r="E53" s="30"/>
      <x:c r="F53" s="30"/>
      <x:c r="G53" s="30"/>
      <x:c r="H53" s="34"/>
      <x:c r="I53" s="30"/>
      <x:c r="J53" s="30"/>
    </x:row>
    <x:row r="54">
      <x:c r="A54" s="30"/>
      <x:c r="B54" s="30"/>
      <x:c r="C54" s="30"/>
      <x:c r="D54" s="30"/>
      <x:c r="E54" s="30"/>
      <x:c r="F54" s="30"/>
      <x:c r="G54" s="30"/>
      <x:c r="H54" s="34"/>
      <x:c r="I54" s="30"/>
      <x:c r="J54" s="30"/>
    </x:row>
    <x:row r="55">
      <x:c r="A55" s="30"/>
      <x:c r="B55" s="30"/>
      <x:c r="C55" s="30"/>
      <x:c r="D55" s="30"/>
      <x:c r="E55" s="30"/>
      <x:c r="F55" s="30"/>
      <x:c r="G55" s="30"/>
      <x:c r="H55" s="34"/>
      <x:c r="I55" s="30"/>
      <x:c r="J55" s="30"/>
    </x:row>
    <x:row r="56">
      <x:c r="A56" s="30"/>
      <x:c r="B56" s="30"/>
      <x:c r="C56" s="30"/>
      <x:c r="D56" s="30"/>
      <x:c r="E56" s="30"/>
      <x:c r="F56" s="30"/>
      <x:c r="G56" s="30"/>
      <x:c r="H56" s="34"/>
      <x:c r="I56" s="30"/>
      <x:c r="J56" s="30"/>
    </x:row>
    <x:row r="57">
      <x:c r="A57" s="30"/>
      <x:c r="B57" s="30"/>
      <x:c r="C57" s="30"/>
      <x:c r="D57" s="30"/>
      <x:c r="E57" s="30"/>
      <x:c r="F57" s="30"/>
      <x:c r="G57" s="30"/>
      <x:c r="H57" s="34"/>
      <x:c r="I57" s="30"/>
      <x:c r="J57" s="30"/>
    </x:row>
    <x:row r="58">
      <x:c r="A58" s="30"/>
      <x:c r="B58" s="30"/>
      <x:c r="C58" s="30"/>
      <x:c r="D58" s="30"/>
      <x:c r="E58" s="30"/>
      <x:c r="F58" s="30"/>
      <x:c r="G58" s="30"/>
      <x:c r="H58" s="34"/>
      <x:c r="I58" s="30"/>
      <x:c r="J58" s="30"/>
    </x:row>
    <x:row r="59">
      <x:c r="A59" s="30"/>
      <x:c r="B59" s="30"/>
      <x:c r="C59" s="30"/>
      <x:c r="D59" s="30"/>
      <x:c r="E59" s="30"/>
      <x:c r="F59" s="30"/>
      <x:c r="G59" s="30"/>
      <x:c r="H59" s="34"/>
      <x:c r="I59" s="30"/>
      <x:c r="J59" s="30"/>
    </x:row>
    <x:row r="60">
      <x:c r="A60" s="30"/>
      <x:c r="B60" s="30"/>
      <x:c r="C60" s="30"/>
      <x:c r="D60" s="30"/>
      <x:c r="E60" s="30"/>
      <x:c r="F60" s="30"/>
      <x:c r="G60" s="30"/>
      <x:c r="H60" s="34"/>
      <x:c r="I60" s="30"/>
      <x:c r="J60" s="30"/>
    </x:row>
    <x:row r="61">
      <x:c r="A61" s="30"/>
      <x:c r="B61" s="30"/>
      <x:c r="C61" s="30"/>
      <x:c r="D61" s="30"/>
      <x:c r="E61" s="30"/>
      <x:c r="F61" s="30"/>
      <x:c r="G61" s="30"/>
      <x:c r="H61" s="34"/>
      <x:c r="I61" s="30"/>
      <x:c r="J61" s="30"/>
    </x:row>
    <x:row r="62">
      <x:c r="A62" s="30"/>
      <x:c r="B62" s="30"/>
      <x:c r="C62" s="30"/>
      <x:c r="D62" s="30"/>
      <x:c r="E62" s="30"/>
      <x:c r="F62" s="30"/>
      <x:c r="G62" s="30"/>
      <x:c r="H62" s="34"/>
      <x:c r="I62" s="30"/>
      <x:c r="J62" s="30"/>
    </x:row>
    <x:row r="63">
      <x:c r="A63" s="30"/>
      <x:c r="B63" s="30"/>
      <x:c r="C63" s="30"/>
      <x:c r="D63" s="30"/>
      <x:c r="E63" s="30"/>
      <x:c r="F63" s="30"/>
      <x:c r="G63" s="30"/>
      <x:c r="H63" s="34"/>
      <x:c r="I63" s="30"/>
      <x:c r="J63" s="30"/>
    </x:row>
    <x:row r="64">
      <x:c r="A64" s="30"/>
      <x:c r="B64" s="30"/>
      <x:c r="C64" s="30"/>
      <x:c r="D64" s="30"/>
      <x:c r="E64" s="30"/>
      <x:c r="F64" s="30"/>
      <x:c r="G64" s="30"/>
      <x:c r="H64" s="34"/>
      <x:c r="I64" s="30"/>
      <x:c r="J64" s="30"/>
    </x:row>
    <x:row r="65">
      <x:c r="A65" s="30"/>
      <x:c r="B65" s="30"/>
      <x:c r="C65" s="30"/>
      <x:c r="D65" s="30"/>
      <x:c r="E65" s="30"/>
      <x:c r="F65" s="30"/>
      <x:c r="G65" s="30"/>
      <x:c r="H65" s="34"/>
      <x:c r="I65" s="30"/>
      <x:c r="J65" s="30"/>
    </x:row>
    <x:row r="66">
      <x:c r="A66" s="30"/>
      <x:c r="B66" s="30"/>
      <x:c r="C66" s="30"/>
      <x:c r="D66" s="30"/>
      <x:c r="E66" s="30"/>
      <x:c r="F66" s="30"/>
      <x:c r="G66" s="30"/>
      <x:c r="H66" s="34"/>
      <x:c r="I66" s="30"/>
      <x:c r="J66" s="30"/>
    </x:row>
    <x:row r="67">
      <x:c r="A67" s="30"/>
      <x:c r="B67" s="30"/>
      <x:c r="C67" s="30"/>
      <x:c r="D67" s="30"/>
      <x:c r="E67" s="30"/>
      <x:c r="F67" s="30"/>
      <x:c r="G67" s="30"/>
      <x:c r="H67" s="34"/>
      <x:c r="I67" s="30"/>
      <x:c r="J67" s="30"/>
    </x:row>
    <x:row r="68">
      <x:c r="A68" s="30"/>
      <x:c r="B68" s="30"/>
      <x:c r="C68" s="30"/>
      <x:c r="D68" s="30"/>
      <x:c r="E68" s="30"/>
      <x:c r="F68" s="30"/>
      <x:c r="G68" s="30"/>
      <x:c r="H68" s="34"/>
      <x:c r="I68" s="30"/>
      <x:c r="J68" s="30"/>
    </x:row>
    <x:row r="69">
      <x:c r="A69" s="30"/>
      <x:c r="B69" s="30"/>
      <x:c r="C69" s="30"/>
      <x:c r="D69" s="30"/>
      <x:c r="E69" s="30"/>
      <x:c r="F69" s="30"/>
      <x:c r="G69" s="30"/>
      <x:c r="H69" s="34"/>
      <x:c r="I69" s="30"/>
      <x:c r="J69" s="30"/>
    </x:row>
    <x:row r="70">
      <x:c r="A70" s="30"/>
      <x:c r="B70" s="30"/>
      <x:c r="C70" s="30"/>
      <x:c r="D70" s="30"/>
      <x:c r="E70" s="30"/>
      <x:c r="F70" s="30"/>
      <x:c r="G70" s="30"/>
      <x:c r="H70" s="34"/>
      <x:c r="I70" s="30"/>
      <x:c r="J70" s="30"/>
    </x:row>
    <x:row r="71">
      <x:c r="A71" s="30"/>
      <x:c r="B71" s="30"/>
      <x:c r="C71" s="30"/>
      <x:c r="D71" s="30"/>
      <x:c r="E71" s="30"/>
      <x:c r="F71" s="30"/>
      <x:c r="G71" s="30"/>
      <x:c r="H71" s="34"/>
      <x:c r="I71" s="30"/>
      <x:c r="J71" s="30"/>
    </x:row>
    <x:row r="72">
      <x:c r="A72" s="30"/>
      <x:c r="B72" s="30"/>
      <x:c r="C72" s="30"/>
      <x:c r="D72" s="30"/>
      <x:c r="E72" s="30"/>
      <x:c r="F72" s="30"/>
      <x:c r="G72" s="30"/>
      <x:c r="H72" s="34"/>
      <x:c r="I72" s="30"/>
      <x:c r="J72" s="30"/>
    </x:row>
    <x:row r="73">
      <x:c r="A73" s="30"/>
      <x:c r="B73" s="30"/>
      <x:c r="C73" s="30"/>
      <x:c r="D73" s="30"/>
      <x:c r="E73" s="30"/>
      <x:c r="F73" s="30"/>
      <x:c r="G73" s="30"/>
      <x:c r="H73" s="34"/>
      <x:c r="I73" s="30"/>
      <x:c r="J73" s="30"/>
    </x:row>
    <x:row r="74">
      <x:c r="A74" s="30"/>
      <x:c r="B74" s="30"/>
      <x:c r="C74" s="30"/>
      <x:c r="D74" s="30"/>
      <x:c r="E74" s="30"/>
      <x:c r="F74" s="30"/>
      <x:c r="G74" s="30"/>
      <x:c r="H74" s="34"/>
      <x:c r="I74" s="30"/>
      <x:c r="J74" s="30"/>
    </x:row>
    <x:row r="75">
      <x:c r="A75" s="30"/>
      <x:c r="B75" s="30"/>
      <x:c r="C75" s="30"/>
      <x:c r="D75" s="30"/>
      <x:c r="E75" s="30"/>
      <x:c r="F75" s="30"/>
      <x:c r="G75" s="30"/>
      <x:c r="H75" s="34"/>
      <x:c r="I75" s="30"/>
      <x:c r="J75" s="30"/>
    </x:row>
    <x:row r="76">
      <x:c r="A76" s="30"/>
      <x:c r="B76" s="30"/>
      <x:c r="C76" s="30"/>
      <x:c r="D76" s="30"/>
      <x:c r="E76" s="30"/>
      <x:c r="F76" s="30"/>
      <x:c r="G76" s="30"/>
      <x:c r="H76" s="34"/>
      <x:c r="I76" s="30"/>
      <x:c r="J76" s="30"/>
    </x:row>
    <x:row r="77">
      <x:c r="A77" s="30"/>
      <x:c r="B77" s="30"/>
      <x:c r="C77" s="30"/>
      <x:c r="D77" s="30"/>
      <x:c r="E77" s="30"/>
      <x:c r="F77" s="30"/>
      <x:c r="G77" s="30"/>
      <x:c r="H77" s="34"/>
      <x:c r="I77" s="30"/>
      <x:c r="J77" s="30"/>
    </x:row>
    <x:row r="78">
      <x:c r="A78" s="30"/>
      <x:c r="B78" s="30"/>
      <x:c r="C78" s="30"/>
      <x:c r="D78" s="30"/>
      <x:c r="E78" s="30"/>
      <x:c r="F78" s="30"/>
      <x:c r="G78" s="30"/>
      <x:c r="H78" s="34"/>
      <x:c r="I78" s="30"/>
      <x:c r="J78" s="30"/>
    </x:row>
    <x:row r="79">
      <x:c r="A79" s="30"/>
      <x:c r="B79" s="30"/>
      <x:c r="C79" s="30"/>
      <x:c r="D79" s="30"/>
      <x:c r="E79" s="30"/>
      <x:c r="F79" s="30"/>
      <x:c r="G79" s="30"/>
      <x:c r="H79" s="34"/>
      <x:c r="I79" s="30"/>
      <x:c r="J79" s="30"/>
    </x:row>
    <x:row r="80">
      <x:c r="A80" s="30"/>
      <x:c r="B80" s="30"/>
      <x:c r="C80" s="30"/>
      <x:c r="D80" s="30"/>
      <x:c r="E80" s="30"/>
      <x:c r="F80" s="30"/>
      <x:c r="G80" s="30"/>
      <x:c r="H80" s="34"/>
      <x:c r="I80" s="30"/>
      <x:c r="J80" s="30"/>
    </x:row>
  </x:sheetData>
  <x:mergeCells>
    <x:mergeCell ref="A1:H2"/>
    <x:mergeCell ref="A3:H3"/>
  </x:mergeCells>
  <x:conditionalFormatting sqref="G7:G80">
    <x:cfRule type="expression" dxfId="145" priority="1">
      <x:formula>G7="ACEITO"</x:formula>
    </x:cfRule>
    <x:cfRule type="expression" dxfId="146" priority="2">
      <x:formula>G7="PUBLICADO"</x:formula>
    </x:cfRule>
    <x:cfRule type="expression" dxfId="147" priority="3">
      <x:formula>G7="EM PRODUÇÃO"</x:formula>
    </x:cfRule>
    <x:cfRule type="expression" dxfId="148" priority="4">
      <x:formula>G7="ARGUMENTAÇÃO"</x:formula>
    </x:cfRule>
    <x:cfRule type="expression" dxfId="149" priority="5">
      <x:formula>G7="PESQUISA"</x:formula>
    </x:cfRule>
    <x:cfRule type="expression" dxfId="150" priority="6">
      <x:formula>G7="EM REVISÃO"</x:formula>
    </x:cfRule>
    <x:cfRule type="expression" dxfId="151" priority="7">
      <x:formula>G7="EM RISCO"</x:formula>
    </x:cfRule>
    <x:cfRule type="expression" dxfId="152" priority="8">
      <x:formula>G7="BLOQUEADO"</x:formula>
    </x:cfRule>
    <x:cfRule type="expression" dxfId="153" priority="9">
      <x:formula>G7="RASCUNHO"</x:formula>
    </x:cfRule>
    <x:cfRule type="expression" dxfId="154" priority="10">
      <x:formula>G7="PLANEJADO"</x:formula>
    </x:cfRule>
    <x:cfRule type="expression" dxfId="155" priority="11">
      <x:formula>G7="TRIAGEM"</x:formula>
    </x:cfRule>
  </x:conditionalFormatting>
  <x:dataValidations count="2">
    <x:dataValidation type="list" sqref="F7:F80">
      <x:formula1>'19_CONFIG_LISTAS'!$B$7:$B$10</x:formula1>
    </x:dataValidation>
    <x:dataValidation type="list" sqref="G7:G80">
      <x:formula1>'19_CONFIG_LISTAS'!$A$7:$A$23</x:formula1>
    </x:dataValidation>
  </x:dataValidation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22" hidden="0" customWidth="1"/>
    <x:col min="4" max="4" width="42" hidden="0" customWidth="1"/>
    <x:col min="5" max="5" width="34" hidden="0" customWidth="1"/>
    <x:col min="6" max="6" width="34" hidden="0" customWidth="1"/>
    <x:col min="7" max="7" width="28" hidden="0" customWidth="1"/>
    <x:col min="8" max="8" width="28" hidden="0" customWidth="1"/>
  </x:cols>
  <x:sheetData>
    <x:row r="1">
      <x:c r="A1" s="4" t="str">
        <x:v>TAXONOMIA · RISCO COGNITIVO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Rotas, funções conceituais, perguntas centrais e slugs canônicos.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Taxonomy_ID</x:v>
      </x:c>
      <x:c r="B6" s="23" t="str">
        <x:v>Rota / Pilar</x:v>
      </x:c>
      <x:c r="C6" s="23" t="str">
        <x:v>Função</x:v>
      </x:c>
      <x:c r="D6" s="23" t="str">
        <x:v>Pergunta central</x:v>
      </x:c>
      <x:c r="E6" s="23" t="str">
        <x:v>Slug</x:v>
      </x:c>
      <x:c r="F6" s="23" t="str">
        <x:v>Inclui</x:v>
      </x:c>
      <x:c r="G6" s="23" t="str">
        <x:v>Não confundir com</x:v>
      </x:c>
      <x:c r="H6" s="23" t="str">
        <x:v>Notas</x:v>
      </x:c>
    </x:row>
    <x:row r="7">
      <x:c r="A7" s="30" t="str">
        <x:v>TAX-RC-001</x:v>
      </x:c>
      <x:c r="B7" s="30" t="str">
        <x:v>Risco Cognitivo</x:v>
      </x:c>
      <x:c r="C7" s="30" t="str">
        <x:v>Fenômeno</x:v>
      </x:c>
      <x:c r="D7" s="30" t="str">
        <x:v>O que é risco cognitivo?</x:v>
      </x:c>
      <x:c r="E7" s="30" t="str">
        <x:v>/risco-cognitivo/</x:v>
      </x:c>
      <x:c r="F7" s="30" t="str">
        <x:v>definição; mecanismos; taxonomia; impactos</x:v>
      </x:c>
      <x:c r="G7" s="30" t="str">
        <x:v>erro; diagnóstico; distração</x:v>
      </x:c>
      <x:c r="H7" s="30" t="str">
        <x:v>Marca + fenômeno</x:v>
      </x:c>
    </x:row>
    <x:row r="8">
      <x:c r="A8" s="30" t="str">
        <x:v>TAX-RC-002</x:v>
      </x:c>
      <x:c r="B8" s="30" t="str">
        <x:v>Fatores de Risco Cognitivo</x:v>
      </x:c>
      <x:c r="C8" s="30" t="str">
        <x:v>Causas</x:v>
      </x:c>
      <x:c r="D8" s="30" t="str">
        <x:v>O que aumenta a probabilidade do risco?</x:v>
      </x:c>
      <x:c r="E8" s="30" t="str">
        <x:v>/fatores-de-risco-cognitivo/</x:v>
      </x:c>
      <x:c r="F8" s="30" t="str">
        <x:v>sono; fadiga; interrupções; sobrecarga; TDAH; IA</x:v>
      </x:c>
      <x:c r="G8" s="30" t="str">
        <x:v>evento; consequência</x:v>
      </x:c>
      <x:c r="H8" s="30" t="str">
        <x:v>Fator aumenta probabilidade</x:v>
      </x:c>
    </x:row>
    <x:row r="9">
      <x:c r="A9" s="30" t="str">
        <x:v>TAX-RC-003</x:v>
      </x:c>
      <x:c r="B9" s="30" t="str">
        <x:v>Exposição Cognitiva</x:v>
      </x:c>
      <x:c r="C9" s="30" t="str">
        <x:v>Condição</x:v>
      </x:c>
      <x:c r="D9" s="30" t="str">
        <x:v>Em quais condições existe exposição relevante?</x:v>
      </x:c>
      <x:c r="E9" s="30" t="str">
        <x:v>/exposicao-cognitiva/</x:v>
      </x:c>
      <x:c r="F9" s="30" t="str">
        <x:v>intensidade; frequência; duração; criticidade</x:v>
      </x:c>
      <x:c r="G9" s="30" t="str">
        <x:v>fator isolado</x:v>
      </x:c>
      <x:c r="H9" s="30" t="str">
        <x:v>Ponte causal</x:v>
      </x:c>
    </x:row>
    <x:row r="10">
      <x:c r="A10" s="30" t="str">
        <x:v>TAX-RC-004</x:v>
      </x:c>
      <x:c r="B10" s="30" t="str">
        <x:v>Eventos de Risco Cognitivo</x:v>
      </x:c>
      <x:c r="C10" s="30" t="str">
        <x:v>Ocorrências</x:v>
      </x:c>
      <x:c r="D10" s="30" t="str">
        <x:v>O que aconteceu?</x:v>
      </x:c>
      <x:c r="E10" s="30" t="str">
        <x:v>/eventos-de-risco-cognitivo/</x:v>
      </x:c>
      <x:c r="F10" s="30" t="str">
        <x:v>omissão; erro de contexto; memória; impulsividade</x:v>
      </x:c>
      <x:c r="G10" s="30" t="str">
        <x:v>fator; risco potencial</x:v>
      </x:c>
      <x:c r="H10" s="30" t="str">
        <x:v>Evento observável</x:v>
      </x:c>
    </x:row>
    <x:row r="11">
      <x:c r="A11" s="30" t="str">
        <x:v>TAX-RC-005</x:v>
      </x:c>
      <x:c r="B11" s="30" t="str">
        <x:v>Controles Cognitivos</x:v>
      </x:c>
      <x:c r="C11" s="30" t="str">
        <x:v>Mitigação</x:v>
      </x:c>
      <x:c r="D11" s="30" t="str">
        <x:v>O que reduz probabilidade ou impacto?</x:v>
      </x:c>
      <x:c r="E11" s="30" t="str">
        <x:v>/controles-cognitivos/</x:v>
      </x:c>
      <x:c r="F11" s="30" t="str">
        <x:v>preventivos; detectivos; corretivos</x:v>
      </x:c>
      <x:c r="G11" s="30" t="str">
        <x:v>indicador</x:v>
      </x:c>
      <x:c r="H11" s="30" t="str">
        <x:v>Controle do sistema</x:v>
      </x:c>
    </x:row>
    <x:row r="12">
      <x:c r="A12" s="30" t="str">
        <x:v>TAX-RC-006</x:v>
      </x:c>
      <x:c r="B12" s="30" t="str">
        <x:v>Indicadores de Risco Cognitivo</x:v>
      </x:c>
      <x:c r="C12" s="30" t="str">
        <x:v>Mensuração</x:v>
      </x:c>
      <x:c r="D12" s="30" t="str">
        <x:v>Como detectar, medir e acompanhar?</x:v>
      </x:c>
      <x:c r="E12" s="30" t="str">
        <x:v>/indicadores-de-risco-cognitivo/</x:v>
      </x:c>
      <x:c r="F12" s="30" t="str">
        <x:v>leading; lagging</x:v>
      </x:c>
      <x:c r="G12" s="30" t="str">
        <x:v>controle</x:v>
      </x:c>
      <x:c r="H12" s="30" t="str">
        <x:v>Monitoramento</x:v>
      </x:c>
    </x:row>
    <x:row r="13">
      <x:c r="A13" s="30" t="str">
        <x:v>TAX-RC-007</x:v>
      </x:c>
      <x:c r="B13" s="30" t="str">
        <x:v>Gestão do Risco Cognitivo</x:v>
      </x:c>
      <x:c r="C13" s="30" t="str">
        <x:v>Prática</x:v>
      </x:c>
      <x:c r="D13" s="30" t="str">
        <x:v>Como identificar, avaliar, tratar e acompanhar?</x:v>
      </x:c>
      <x:c r="E13" s="30" t="str">
        <x:v>/gestao-do-risco-cognitivo/</x:v>
      </x:c>
      <x:c r="F13" s="30" t="str">
        <x:v>identificar; avaliar; priorizar; controlar; monitorar; aprender</x:v>
      </x:c>
      <x:c r="G13" s="30" t="str">
        <x:v>gestão genérica de risco</x:v>
      </x:c>
      <x:c r="H13" s="30" t="str">
        <x:v>Prática gerencial</x:v>
      </x:c>
    </x:row>
    <x:row r="14">
      <x:c r="A14" s="30" t="str">
        <x:v>TAX-RC-008</x:v>
      </x:c>
      <x:c r="B14" s="30" t="str">
        <x:v>Framework de Risco Cognitivo</x:v>
      </x:c>
      <x:c r="C14" s="30" t="str">
        <x:v>Método</x:v>
      </x:c>
      <x:c r="D14" s="30" t="str">
        <x:v>Como os elementos se conectam?</x:v>
      </x:c>
      <x:c r="E14" s="30" t="str">
        <x:v>/framework-de-risco-cognitivo/</x:v>
      </x:c>
      <x:c r="F14" s="30" t="str">
        <x:v>fatores; exposição; eventos; consequências; controles; indicadores; gestão</x:v>
      </x:c>
      <x:c r="G14" s="30" t="str">
        <x:v>artigo isolado</x:v>
      </x:c>
      <x:c r="H14" s="30" t="str">
        <x:v>Método integrador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CONFIGURAÇÕES · LISTAS CONTROLADAS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Vocabulários usados nos dropdowns e automações do CMS.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18" t="str">
        <x:v>Status Editorial</x:v>
      </x:c>
      <x:c r="B6" s="18" t="str">
        <x:v>Prioridade</x:v>
      </x:c>
      <x:c r="C6" s="18" t="str">
        <x:v>Tipo Conteúdo</x:v>
      </x:c>
      <x:c r="D6" s="18" t="str">
        <x:v>Classe Epistêmica</x:v>
      </x:c>
      <x:c r="E6" s="18" t="str">
        <x:v>Canal</x:v>
      </x:c>
      <x:c r="F6" s="18" t="str">
        <x:v>Formato Ativo</x:v>
      </x:c>
      <x:c r="G6" s="18" t="str">
        <x:v>Status Visual</x:v>
      </x:c>
      <x:c r="H6" s="18" t="str">
        <x:v>Tipo Evidência</x:v>
      </x:c>
    </x:row>
    <x:row r="7">
      <x:c r="A7" t="str">
        <x:v>IDEIA</x:v>
      </x:c>
      <x:c r="B7" t="str">
        <x:v>CRÍTICA</x:v>
      </x:c>
      <x:c r="C7" t="str">
        <x:v>Artigo fundador</x:v>
      </x:c>
      <x:c r="D7" t="str">
        <x:v>A · Observado</x:v>
      </x:c>
      <x:c r="E7" t="str">
        <x:v>Blog</x:v>
      </x:c>
      <x:c r="F7" t="str">
        <x:v>Artigo</x:v>
      </x:c>
      <x:c r="G7" t="str">
        <x:v>BRIEF</x:v>
      </x:c>
      <x:c r="H7" t="str">
        <x:v>Artigo científico</x:v>
      </x:c>
    </x:row>
    <x:row r="8">
      <x:c r="A8" t="str">
        <x:v>TRIAGEM</x:v>
      </x:c>
      <x:c r="B8" t="str">
        <x:v>ALTA</x:v>
      </x:c>
      <x:c r="C8" t="str">
        <x:v>Artigo</x:v>
      </x:c>
      <x:c r="D8" t="str">
        <x:v>B · Primário</x:v>
      </x:c>
      <x:c r="E8" t="str">
        <x:v>YouTube</x:v>
      </x:c>
      <x:c r="F8" t="str">
        <x:v>Short</x:v>
      </x:c>
      <x:c r="G8" t="str">
        <x:v>EM PRODUÇÃO</x:v>
      </x:c>
      <x:c r="H8" t="str">
        <x:v>Revisão</x:v>
      </x:c>
    </x:row>
    <x:row r="9">
      <x:c r="A9" t="str">
        <x:v>APROVADA</x:v>
      </x:c>
      <x:c r="B9" t="str">
        <x:v>MÉDIA</x:v>
      </x:c>
      <x:c r="C9" t="str">
        <x:v>Página-pilar</x:v>
      </x:c>
      <x:c r="D9" t="str">
        <x:v>C · Publicado</x:v>
      </x:c>
      <x:c r="E9" t="str">
        <x:v>YouTube Shorts</x:v>
      </x:c>
      <x:c r="F9" t="str">
        <x:v>Reel</x:v>
      </x:c>
      <x:c r="G9" t="str">
        <x:v>EM REVISÃO</x:v>
      </x:c>
      <x:c r="H9" t="str">
        <x:v>Meta-análise</x:v>
      </x:c>
    </x:row>
    <x:row r="10">
      <x:c r="A10" t="str">
        <x:v>PESQUISA</x:v>
      </x:c>
      <x:c r="B10" t="str">
        <x:v>BAIXA</x:v>
      </x:c>
      <x:c r="C10" t="str">
        <x:v>Newsletter</x:v>
      </x:c>
      <x:c r="D10" t="str">
        <x:v>D · Interno</x:v>
      </x:c>
      <x:c r="E10" t="str">
        <x:v>Instagram</x:v>
      </x:c>
      <x:c r="F10" t="str">
        <x:v>Carrossel</x:v>
      </x:c>
      <x:c r="G10" t="str">
        <x:v>ACEITO</x:v>
      </x:c>
      <x:c r="H10" t="str">
        <x:v>Norma</x:v>
      </x:c>
    </x:row>
    <x:row r="11">
      <x:c r="A11" t="str">
        <x:v>ARGUMENTAÇÃO</x:v>
      </x:c>
      <x:c r="C11" t="str">
        <x:v>Vídeo longo</x:v>
      </x:c>
      <x:c r="D11" t="str">
        <x:v>E · Inferido</x:v>
      </x:c>
      <x:c r="E11" t="str">
        <x:v>LinkedIn</x:v>
      </x:c>
      <x:c r="F11" t="str">
        <x:v>Post textual</x:v>
      </x:c>
      <x:c r="G11" t="str">
        <x:v>PUBLICADO</x:v>
      </x:c>
      <x:c r="H11" t="str">
        <x:v>Instituição</x:v>
      </x:c>
    </x:row>
    <x:row r="12">
      <x:c r="A12" t="str">
        <x:v>RASCUNHO</x:v>
      </x:c>
      <x:c r="C12" t="str">
        <x:v>Short/Reel</x:v>
      </x:c>
      <x:c r="E12" t="str">
        <x:v>Threads</x:v>
      </x:c>
      <x:c r="F12" t="str">
        <x:v>Thread</x:v>
      </x:c>
      <x:c r="G12" t="str">
        <x:v>BLOQUEADO</x:v>
      </x:c>
      <x:c r="H12" t="str">
        <x:v>Livro</x:v>
      </x:c>
    </x:row>
    <x:row r="13">
      <x:c r="A13" t="str">
        <x:v>EM PRODUÇÃO</x:v>
      </x:c>
      <x:c r="C13" t="str">
        <x:v>Carrossel</x:v>
      </x:c>
      <x:c r="E13" t="str">
        <x:v>X</x:v>
      </x:c>
      <x:c r="F13" t="str">
        <x:v>Card</x:v>
      </x:c>
      <x:c r="H13" t="str">
        <x:v>Paper profissional</x:v>
      </x:c>
    </x:row>
    <x:row r="14">
      <x:c r="A14" t="str">
        <x:v>EM REVISÃO</x:v>
      </x:c>
      <x:c r="C14" t="str">
        <x:v>Post textual</x:v>
      </x:c>
      <x:c r="E14" t="str">
        <x:v>Newsletter</x:v>
      </x:c>
      <x:c r="F14" t="str">
        <x:v>Newsletter</x:v>
      </x:c>
      <x:c r="H14" t="str">
        <x:v>Documento interno</x:v>
      </x:c>
    </x:row>
    <x:row r="15">
      <x:c r="A15" t="str">
        <x:v>ACEITO</x:v>
      </x:c>
      <x:c r="C15" t="str">
        <x:v>Card</x:v>
      </x:c>
      <x:c r="F15" t="str">
        <x:v>Vídeo longo</x:v>
      </x:c>
      <x:c r="H15" t="str">
        <x:v>Dados próprios</x:v>
      </x:c>
    </x:row>
    <x:row r="16">
      <x:c r="A16" t="str">
        <x:v>DERIVAÇÃO</x:v>
      </x:c>
      <x:c r="C16" t="str">
        <x:v>Pesquisa</x:v>
      </x:c>
      <x:c r="F16" t="str">
        <x:v>Infográfico</x:v>
      </x:c>
      <x:c r="H16" t="str">
        <x:v>Caso</x:v>
      </x:c>
    </x:row>
    <x:row r="17">
      <x:c r="A17" t="str">
        <x:v>PRONTO</x:v>
      </x:c>
      <x:c r="F17" t="str">
        <x:v>Gráfico</x:v>
      </x:c>
    </x:row>
    <x:row r="18">
      <x:c r="A18" t="str">
        <x:v>AGENDADO</x:v>
      </x:c>
      <x:c r="F18" t="str">
        <x:v>Thumbnail</x:v>
      </x:c>
    </x:row>
    <x:row r="19">
      <x:c r="A19" t="str">
        <x:v>PUBLICADO</x:v>
      </x:c>
      <x:c r="F19" t="str">
        <x:v>B-roll</x:v>
      </x:c>
    </x:row>
    <x:row r="20">
      <x:c r="A20" t="str">
        <x:v>RECIRCULAÇÃO</x:v>
      </x:c>
    </x:row>
    <x:row r="21">
      <x:c r="A21" t="str">
        <x:v>ATUALIZAR</x:v>
      </x:c>
    </x:row>
    <x:row r="22">
      <x:c r="A22" t="str">
        <x:v>ARQUIVADO</x:v>
      </x:c>
    </x:row>
    <x:row r="23">
      <x:c r="A23" t="str">
        <x:v>BLOQUEADO</x:v>
      </x:c>
    </x:row>
  </x:sheetData>
  <x:mergeCells>
    <x:mergeCell ref="A1:H2"/>
    <x:mergeCell ref="A3:H3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40" hidden="0" customWidth="1"/>
    <x:col min="4" max="4" width="48" hidden="0" customWidth="1"/>
    <x:col min="5" max="5" width="22" hidden="0" customWidth="1"/>
    <x:col min="6" max="6" width="18" hidden="0" customWidth="1"/>
    <x:col min="7" max="7" width="16" hidden="0" customWidth="1"/>
    <x:col min="8" max="8" width="42" hidden="0" customWidth="1"/>
    <x:col min="9" max="9" width="42" hidden="0" customWidth="1"/>
    <x:col min="10" max="10" width="30" hidden="0" customWidth="1"/>
  </x:cols>
  <x:sheetData>
    <x:row r="1">
      <x:c r="A1" s="4" t="str">
        <x:v>LOG DE DECISÕES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8" t="str">
        <x:v>Histórico de decisões editoriais e operacionais. Não sobrescrever decisões anteriores.</x:v>
      </x:c>
      <x:c r="B3" s="8"/>
      <x:c r="C3" s="8"/>
      <x:c r="D3" s="8"/>
      <x:c r="E3" s="8"/>
      <x:c r="F3" s="8"/>
      <x:c r="G3" s="8"/>
      <x:c r="H3" s="8"/>
    </x:row>
    <x:row r="4">
      <x:c r="A4" s="11" t="str">
        <x:v>Projeto</x:v>
      </x:c>
      <x:c r="B4" s="15" t="str">
        <x:v>Risco Cognitivo</x:v>
      </x:c>
      <x:c r="C4" s="11" t="str">
        <x:v>Status</x:v>
      </x:c>
      <x:c r="D4" s="15" t="str">
        <x:v>Ativo</x:v>
      </x:c>
      <x:c r="E4" s="11" t="str">
        <x:v>Versão</x:v>
      </x:c>
      <x:c r="F4" s="15" t="str">
        <x:v>1.0</x:v>
      </x:c>
      <x:c r="G4" s="11" t="str">
        <x:v>Data</x:v>
      </x:c>
      <x:c r="H4" s="15" t="str">
        <x:v>01/09/2026</x:v>
      </x:c>
    </x:row>
    <x:row r="6">
      <x:c r="A6" s="23" t="str">
        <x:v>Decision_ID</x:v>
      </x:c>
      <x:c r="B6" s="23" t="str">
        <x:v>Content_ID</x:v>
      </x:c>
      <x:c r="C6" s="23" t="str">
        <x:v>Decisão necessária</x:v>
      </x:c>
      <x:c r="D6" s="23" t="str">
        <x:v>Decisão tomada</x:v>
      </x:c>
      <x:c r="E6" s="23" t="str">
        <x:v>Owner</x:v>
      </x:c>
      <x:c r="F6" s="23" t="str">
        <x:v>Status</x:v>
      </x:c>
      <x:c r="G6" s="23" t="str">
        <x:v>Data</x:v>
      </x:c>
      <x:c r="H6" s="23" t="str">
        <x:v>Evidência / link</x:v>
      </x:c>
      <x:c r="I6" s="23" t="str">
        <x:v>Impacto</x:v>
      </x:c>
      <x:c r="J6" s="23" t="str">
        <x:v>Próxima revisão</x:v>
      </x:c>
    </x:row>
    <x:row r="7">
      <x:c r="A7" s="30" t="str">
        <x:v>DEC-RC-0001</x:v>
      </x:c>
      <x:c r="B7" s="30" t="str"/>
      <x:c r="C7" s="30" t="str">
        <x:v>Manter Risco Cognitivo como marca principal</x:v>
      </x:c>
      <x:c r="D7" s="30" t="str">
        <x:v>Risco Cognitivo é marca e fenômeno; Gestão do Risco Cognitivo é prática; Framework é método.</x:v>
      </x:c>
      <x:c r="E7" s="30" t="str">
        <x:v>Não determinado</x:v>
      </x:c>
      <x:c r="F7" s="30" t="str">
        <x:v>DECIDIDA</x:v>
      </x:c>
      <x:c r="G7" s="34" t="str">
        <x:v>2026-08-30</x:v>
      </x:c>
      <x:c r="H7" s="30" t="str">
        <x:v>Handoff de naming</x:v>
      </x:c>
      <x:c r="I7" s="30" t="str">
        <x:v>Define arquitetura editorial</x:v>
      </x:c>
      <x:c r="J7" s="30" t="str"/>
    </x:row>
    <x:row r="8">
      <x:c r="A8" s="30" t="str">
        <x:v>DEC-RC-0002</x:v>
      </x:c>
      <x:c r="B8" s="30" t="str"/>
      <x:c r="C8" s="30" t="str">
        <x:v>Adotar design Apple-inspired no CMS</x:v>
      </x:c>
      <x:c r="D8" s="30" t="str">
        <x:v>Branco, baixa densidade visual, azul para ação, cores para estado, texto + cor.</x:v>
      </x:c>
      <x:c r="E8" s="30" t="str">
        <x:v>Não determinado</x:v>
      </x:c>
      <x:c r="F8" s="30" t="str">
        <x:v>DECIDIDA</x:v>
      </x:c>
      <x:c r="G8" s="34" t="str">
        <x:v>2026-09-01</x:v>
      </x:c>
      <x:c r="H8" s="30" t="str">
        <x:v>00A_DESIGN_SYSTEM</x:v>
      </x:c>
      <x:c r="I8" s="30" t="str">
        <x:v>Padrão visual do workbook</x:v>
      </x:c>
      <x:c r="J8" s="30" t="str"/>
    </x:row>
    <x:row r="9">
      <x:c r="A9" s="30"/>
      <x:c r="B9" s="30"/>
      <x:c r="C9" s="30"/>
      <x:c r="D9" s="30"/>
      <x:c r="E9" s="30"/>
      <x:c r="F9" s="30"/>
      <x:c r="G9" s="34"/>
      <x:c r="H9" s="30"/>
      <x:c r="I9" s="30"/>
      <x:c r="J9" s="30"/>
    </x:row>
    <x:row r="10">
      <x:c r="A10" s="30"/>
      <x:c r="B10" s="30"/>
      <x:c r="C10" s="30"/>
      <x:c r="D10" s="30"/>
      <x:c r="E10" s="30"/>
      <x:c r="F10" s="30"/>
      <x:c r="G10" s="34"/>
      <x:c r="H10" s="30"/>
      <x:c r="I10" s="30"/>
      <x:c r="J10" s="30"/>
    </x:row>
    <x:row r="11">
      <x:c r="A11" s="30"/>
      <x:c r="B11" s="30"/>
      <x:c r="C11" s="30"/>
      <x:c r="D11" s="30"/>
      <x:c r="E11" s="30"/>
      <x:c r="F11" s="30"/>
      <x:c r="G11" s="34"/>
      <x:c r="H11" s="30"/>
      <x:c r="I11" s="30"/>
      <x:c r="J11" s="30"/>
    </x:row>
    <x:row r="12">
      <x:c r="A12" s="30"/>
      <x:c r="B12" s="30"/>
      <x:c r="C12" s="30"/>
      <x:c r="D12" s="30"/>
      <x:c r="E12" s="30"/>
      <x:c r="F12" s="30"/>
      <x:c r="G12" s="34"/>
      <x:c r="H12" s="30"/>
      <x:c r="I12" s="30"/>
      <x:c r="J12" s="30"/>
    </x:row>
    <x:row r="13">
      <x:c r="A13" s="30"/>
      <x:c r="B13" s="30"/>
      <x:c r="C13" s="30"/>
      <x:c r="D13" s="30"/>
      <x:c r="E13" s="30"/>
      <x:c r="F13" s="30"/>
      <x:c r="G13" s="34"/>
      <x:c r="H13" s="30"/>
      <x:c r="I13" s="30"/>
      <x:c r="J13" s="30"/>
    </x:row>
    <x:row r="14">
      <x:c r="A14" s="30"/>
      <x:c r="B14" s="30"/>
      <x:c r="C14" s="30"/>
      <x:c r="D14" s="30"/>
      <x:c r="E14" s="30"/>
      <x:c r="F14" s="30"/>
      <x:c r="G14" s="34"/>
      <x:c r="H14" s="30"/>
      <x:c r="I14" s="30"/>
      <x:c r="J14" s="30"/>
    </x:row>
    <x:row r="15">
      <x:c r="A15" s="30"/>
      <x:c r="B15" s="30"/>
      <x:c r="C15" s="30"/>
      <x:c r="D15" s="30"/>
      <x:c r="E15" s="30"/>
      <x:c r="F15" s="30"/>
      <x:c r="G15" s="34"/>
      <x:c r="H15" s="30"/>
      <x:c r="I15" s="30"/>
      <x:c r="J15" s="30"/>
    </x:row>
    <x:row r="16">
      <x:c r="A16" s="30"/>
      <x:c r="B16" s="30"/>
      <x:c r="C16" s="30"/>
      <x:c r="D16" s="30"/>
      <x:c r="E16" s="30"/>
      <x:c r="F16" s="30"/>
      <x:c r="G16" s="34"/>
      <x:c r="H16" s="30"/>
      <x:c r="I16" s="30"/>
      <x:c r="J16" s="30"/>
    </x:row>
    <x:row r="17">
      <x:c r="A17" s="30"/>
      <x:c r="B17" s="30"/>
      <x:c r="C17" s="30"/>
      <x:c r="D17" s="30"/>
      <x:c r="E17" s="30"/>
      <x:c r="F17" s="30"/>
      <x:c r="G17" s="34"/>
      <x:c r="H17" s="30"/>
      <x:c r="I17" s="30"/>
      <x:c r="J17" s="30"/>
    </x:row>
    <x:row r="18">
      <x:c r="A18" s="30"/>
      <x:c r="B18" s="30"/>
      <x:c r="C18" s="30"/>
      <x:c r="D18" s="30"/>
      <x:c r="E18" s="30"/>
      <x:c r="F18" s="30"/>
      <x:c r="G18" s="34"/>
      <x:c r="H18" s="30"/>
      <x:c r="I18" s="30"/>
      <x:c r="J18" s="30"/>
    </x:row>
    <x:row r="19">
      <x:c r="A19" s="30"/>
      <x:c r="B19" s="30"/>
      <x:c r="C19" s="30"/>
      <x:c r="D19" s="30"/>
      <x:c r="E19" s="30"/>
      <x:c r="F19" s="30"/>
      <x:c r="G19" s="34"/>
      <x:c r="H19" s="30"/>
      <x:c r="I19" s="30"/>
      <x:c r="J19" s="30"/>
    </x:row>
    <x:row r="20">
      <x:c r="A20" s="30"/>
      <x:c r="B20" s="30"/>
      <x:c r="C20" s="30"/>
      <x:c r="D20" s="30"/>
      <x:c r="E20" s="30"/>
      <x:c r="F20" s="30"/>
      <x:c r="G20" s="34"/>
      <x:c r="H20" s="30"/>
      <x:c r="I20" s="30"/>
      <x:c r="J20" s="30"/>
    </x:row>
    <x:row r="21">
      <x:c r="A21" s="30"/>
      <x:c r="B21" s="30"/>
      <x:c r="C21" s="30"/>
      <x:c r="D21" s="30"/>
      <x:c r="E21" s="30"/>
      <x:c r="F21" s="30"/>
      <x:c r="G21" s="34"/>
      <x:c r="H21" s="30"/>
      <x:c r="I21" s="30"/>
      <x:c r="J21" s="30"/>
    </x:row>
    <x:row r="22">
      <x:c r="A22" s="30"/>
      <x:c r="B22" s="30"/>
      <x:c r="C22" s="30"/>
      <x:c r="D22" s="30"/>
      <x:c r="E22" s="30"/>
      <x:c r="F22" s="30"/>
      <x:c r="G22" s="34"/>
      <x:c r="H22" s="30"/>
      <x:c r="I22" s="30"/>
      <x:c r="J22" s="30"/>
    </x:row>
    <x:row r="23">
      <x:c r="A23" s="30"/>
      <x:c r="B23" s="30"/>
      <x:c r="C23" s="30"/>
      <x:c r="D23" s="30"/>
      <x:c r="E23" s="30"/>
      <x:c r="F23" s="30"/>
      <x:c r="G23" s="34"/>
      <x:c r="H23" s="30"/>
      <x:c r="I23" s="30"/>
      <x:c r="J23" s="30"/>
    </x:row>
    <x:row r="24">
      <x:c r="A24" s="30"/>
      <x:c r="B24" s="30"/>
      <x:c r="C24" s="30"/>
      <x:c r="D24" s="30"/>
      <x:c r="E24" s="30"/>
      <x:c r="F24" s="30"/>
      <x:c r="G24" s="34"/>
      <x:c r="H24" s="30"/>
      <x:c r="I24" s="30"/>
      <x:c r="J24" s="30"/>
    </x:row>
    <x:row r="25">
      <x:c r="A25" s="30"/>
      <x:c r="B25" s="30"/>
      <x:c r="C25" s="30"/>
      <x:c r="D25" s="30"/>
      <x:c r="E25" s="30"/>
      <x:c r="F25" s="30"/>
      <x:c r="G25" s="34"/>
      <x:c r="H25" s="30"/>
      <x:c r="I25" s="30"/>
      <x:c r="J25" s="30"/>
    </x:row>
    <x:row r="26">
      <x:c r="A26" s="30"/>
      <x:c r="B26" s="30"/>
      <x:c r="C26" s="30"/>
      <x:c r="D26" s="30"/>
      <x:c r="E26" s="30"/>
      <x:c r="F26" s="30"/>
      <x:c r="G26" s="34"/>
      <x:c r="H26" s="30"/>
      <x:c r="I26" s="30"/>
      <x:c r="J26" s="30"/>
    </x:row>
    <x:row r="27">
      <x:c r="A27" s="30"/>
      <x:c r="B27" s="30"/>
      <x:c r="C27" s="30"/>
      <x:c r="D27" s="30"/>
      <x:c r="E27" s="30"/>
      <x:c r="F27" s="30"/>
      <x:c r="G27" s="34"/>
      <x:c r="H27" s="30"/>
      <x:c r="I27" s="30"/>
      <x:c r="J27" s="30"/>
    </x:row>
    <x:row r="28">
      <x:c r="A28" s="30"/>
      <x:c r="B28" s="30"/>
      <x:c r="C28" s="30"/>
      <x:c r="D28" s="30"/>
      <x:c r="E28" s="30"/>
      <x:c r="F28" s="30"/>
      <x:c r="G28" s="34"/>
      <x:c r="H28" s="30"/>
      <x:c r="I28" s="30"/>
      <x:c r="J28" s="30"/>
    </x:row>
    <x:row r="29">
      <x:c r="A29" s="30"/>
      <x:c r="B29" s="30"/>
      <x:c r="C29" s="30"/>
      <x:c r="D29" s="30"/>
      <x:c r="E29" s="30"/>
      <x:c r="F29" s="30"/>
      <x:c r="G29" s="34"/>
      <x:c r="H29" s="30"/>
      <x:c r="I29" s="30"/>
      <x:c r="J29" s="30"/>
    </x:row>
    <x:row r="30">
      <x:c r="A30" s="30"/>
      <x:c r="B30" s="30"/>
      <x:c r="C30" s="30"/>
      <x:c r="D30" s="30"/>
      <x:c r="E30" s="30"/>
      <x:c r="F30" s="30"/>
      <x:c r="G30" s="34"/>
      <x:c r="H30" s="30"/>
      <x:c r="I30" s="30"/>
      <x:c r="J30" s="30"/>
    </x:row>
    <x:row r="31">
      <x:c r="A31" s="30"/>
      <x:c r="B31" s="30"/>
      <x:c r="C31" s="30"/>
      <x:c r="D31" s="30"/>
      <x:c r="E31" s="30"/>
      <x:c r="F31" s="30"/>
      <x:c r="G31" s="34"/>
      <x:c r="H31" s="30"/>
      <x:c r="I31" s="30"/>
      <x:c r="J31" s="30"/>
    </x:row>
    <x:row r="32">
      <x:c r="A32" s="30"/>
      <x:c r="B32" s="30"/>
      <x:c r="C32" s="30"/>
      <x:c r="D32" s="30"/>
      <x:c r="E32" s="30"/>
      <x:c r="F32" s="30"/>
      <x:c r="G32" s="34"/>
      <x:c r="H32" s="30"/>
      <x:c r="I32" s="30"/>
      <x:c r="J32" s="30"/>
    </x:row>
    <x:row r="33">
      <x:c r="A33" s="30"/>
      <x:c r="B33" s="30"/>
      <x:c r="C33" s="30"/>
      <x:c r="D33" s="30"/>
      <x:c r="E33" s="30"/>
      <x:c r="F33" s="30"/>
      <x:c r="G33" s="34"/>
      <x:c r="H33" s="30"/>
      <x:c r="I33" s="30"/>
      <x:c r="J33" s="30"/>
    </x:row>
    <x:row r="34">
      <x:c r="A34" s="30"/>
      <x:c r="B34" s="30"/>
      <x:c r="C34" s="30"/>
      <x:c r="D34" s="30"/>
      <x:c r="E34" s="30"/>
      <x:c r="F34" s="30"/>
      <x:c r="G34" s="34"/>
      <x:c r="H34" s="30"/>
      <x:c r="I34" s="30"/>
      <x:c r="J34" s="30"/>
    </x:row>
    <x:row r="35">
      <x:c r="A35" s="30"/>
      <x:c r="B35" s="30"/>
      <x:c r="C35" s="30"/>
      <x:c r="D35" s="30"/>
      <x:c r="E35" s="30"/>
      <x:c r="F35" s="30"/>
      <x:c r="G35" s="34"/>
      <x:c r="H35" s="30"/>
      <x:c r="I35" s="30"/>
      <x:c r="J35" s="30"/>
    </x:row>
    <x:row r="36">
      <x:c r="A36" s="30"/>
      <x:c r="B36" s="30"/>
      <x:c r="C36" s="30"/>
      <x:c r="D36" s="30"/>
      <x:c r="E36" s="30"/>
      <x:c r="F36" s="30"/>
      <x:c r="G36" s="34"/>
      <x:c r="H36" s="30"/>
      <x:c r="I36" s="30"/>
      <x:c r="J36" s="30"/>
    </x:row>
    <x:row r="37">
      <x:c r="A37" s="30"/>
      <x:c r="B37" s="30"/>
      <x:c r="C37" s="30"/>
      <x:c r="D37" s="30"/>
      <x:c r="E37" s="30"/>
      <x:c r="F37" s="30"/>
      <x:c r="G37" s="34"/>
      <x:c r="H37" s="30"/>
      <x:c r="I37" s="30"/>
      <x:c r="J37" s="30"/>
    </x:row>
    <x:row r="38">
      <x:c r="A38" s="30"/>
      <x:c r="B38" s="30"/>
      <x:c r="C38" s="30"/>
      <x:c r="D38" s="30"/>
      <x:c r="E38" s="30"/>
      <x:c r="F38" s="30"/>
      <x:c r="G38" s="34"/>
      <x:c r="H38" s="30"/>
      <x:c r="I38" s="30"/>
      <x:c r="J38" s="30"/>
    </x:row>
    <x:row r="39">
      <x:c r="A39" s="30"/>
      <x:c r="B39" s="30"/>
      <x:c r="C39" s="30"/>
      <x:c r="D39" s="30"/>
      <x:c r="E39" s="30"/>
      <x:c r="F39" s="30"/>
      <x:c r="G39" s="34"/>
      <x:c r="H39" s="30"/>
      <x:c r="I39" s="30"/>
      <x:c r="J39" s="30"/>
    </x:row>
    <x:row r="40">
      <x:c r="A40" s="30"/>
      <x:c r="B40" s="30"/>
      <x:c r="C40" s="30"/>
      <x:c r="D40" s="30"/>
      <x:c r="E40" s="30"/>
      <x:c r="F40" s="30"/>
      <x:c r="G40" s="34"/>
      <x:c r="H40" s="30"/>
      <x:c r="I40" s="30"/>
      <x:c r="J40" s="30"/>
    </x:row>
    <x:row r="41">
      <x:c r="A41" s="30"/>
      <x:c r="B41" s="30"/>
      <x:c r="C41" s="30"/>
      <x:c r="D41" s="30"/>
      <x:c r="E41" s="30"/>
      <x:c r="F41" s="30"/>
      <x:c r="G41" s="34"/>
      <x:c r="H41" s="30"/>
      <x:c r="I41" s="30"/>
      <x:c r="J41" s="30"/>
    </x:row>
    <x:row r="42">
      <x:c r="A42" s="30"/>
      <x:c r="B42" s="30"/>
      <x:c r="C42" s="30"/>
      <x:c r="D42" s="30"/>
      <x:c r="E42" s="30"/>
      <x:c r="F42" s="30"/>
      <x:c r="G42" s="34"/>
      <x:c r="H42" s="30"/>
      <x:c r="I42" s="30"/>
      <x:c r="J42" s="30"/>
    </x:row>
    <x:row r="43">
      <x:c r="A43" s="30"/>
      <x:c r="B43" s="30"/>
      <x:c r="C43" s="30"/>
      <x:c r="D43" s="30"/>
      <x:c r="E43" s="30"/>
      <x:c r="F43" s="30"/>
      <x:c r="G43" s="34"/>
      <x:c r="H43" s="30"/>
      <x:c r="I43" s="30"/>
      <x:c r="J43" s="30"/>
    </x:row>
    <x:row r="44">
      <x:c r="A44" s="30"/>
      <x:c r="B44" s="30"/>
      <x:c r="C44" s="30"/>
      <x:c r="D44" s="30"/>
      <x:c r="E44" s="30"/>
      <x:c r="F44" s="30"/>
      <x:c r="G44" s="34"/>
      <x:c r="H44" s="30"/>
      <x:c r="I44" s="30"/>
      <x:c r="J44" s="30"/>
    </x:row>
    <x:row r="45">
      <x:c r="A45" s="30"/>
      <x:c r="B45" s="30"/>
      <x:c r="C45" s="30"/>
      <x:c r="D45" s="30"/>
      <x:c r="E45" s="30"/>
      <x:c r="F45" s="30"/>
      <x:c r="G45" s="34"/>
      <x:c r="H45" s="30"/>
      <x:c r="I45" s="30"/>
      <x:c r="J45" s="30"/>
    </x:row>
    <x:row r="46">
      <x:c r="A46" s="30"/>
      <x:c r="B46" s="30"/>
      <x:c r="C46" s="30"/>
      <x:c r="D46" s="30"/>
      <x:c r="E46" s="30"/>
      <x:c r="F46" s="30"/>
      <x:c r="G46" s="34"/>
      <x:c r="H46" s="30"/>
      <x:c r="I46" s="30"/>
      <x:c r="J46" s="30"/>
    </x:row>
    <x:row r="47">
      <x:c r="A47" s="30"/>
      <x:c r="B47" s="30"/>
      <x:c r="C47" s="30"/>
      <x:c r="D47" s="30"/>
      <x:c r="E47" s="30"/>
      <x:c r="F47" s="30"/>
      <x:c r="G47" s="34"/>
      <x:c r="H47" s="30"/>
      <x:c r="I47" s="30"/>
      <x:c r="J47" s="30"/>
    </x:row>
    <x:row r="48">
      <x:c r="A48" s="30"/>
      <x:c r="B48" s="30"/>
      <x:c r="C48" s="30"/>
      <x:c r="D48" s="30"/>
      <x:c r="E48" s="30"/>
      <x:c r="F48" s="30"/>
      <x:c r="G48" s="34"/>
      <x:c r="H48" s="30"/>
      <x:c r="I48" s="30"/>
      <x:c r="J48" s="30"/>
    </x:row>
    <x:row r="49">
      <x:c r="A49" s="30"/>
      <x:c r="B49" s="30"/>
      <x:c r="C49" s="30"/>
      <x:c r="D49" s="30"/>
      <x:c r="E49" s="30"/>
      <x:c r="F49" s="30"/>
      <x:c r="G49" s="34"/>
      <x:c r="H49" s="30"/>
      <x:c r="I49" s="30"/>
      <x:c r="J49" s="30"/>
    </x:row>
    <x:row r="50">
      <x:c r="A50" s="30"/>
      <x:c r="B50" s="30"/>
      <x:c r="C50" s="30"/>
      <x:c r="D50" s="30"/>
      <x:c r="E50" s="30"/>
      <x:c r="F50" s="30"/>
      <x:c r="G50" s="34"/>
      <x:c r="H50" s="30"/>
      <x:c r="I50" s="30"/>
      <x:c r="J50" s="30"/>
    </x:row>
    <x:row r="51">
      <x:c r="A51" s="30"/>
      <x:c r="B51" s="30"/>
      <x:c r="C51" s="30"/>
      <x:c r="D51" s="30"/>
      <x:c r="E51" s="30"/>
      <x:c r="F51" s="30"/>
      <x:c r="G51" s="34"/>
      <x:c r="H51" s="30"/>
      <x:c r="I51" s="30"/>
      <x:c r="J51" s="30"/>
    </x:row>
    <x:row r="52">
      <x:c r="A52" s="30"/>
      <x:c r="B52" s="30"/>
      <x:c r="C52" s="30"/>
      <x:c r="D52" s="30"/>
      <x:c r="E52" s="30"/>
      <x:c r="F52" s="30"/>
      <x:c r="G52" s="34"/>
      <x:c r="H52" s="30"/>
      <x:c r="I52" s="30"/>
      <x:c r="J52" s="30"/>
    </x:row>
    <x:row r="53">
      <x:c r="A53" s="30"/>
      <x:c r="B53" s="30"/>
      <x:c r="C53" s="30"/>
      <x:c r="D53" s="30"/>
      <x:c r="E53" s="30"/>
      <x:c r="F53" s="30"/>
      <x:c r="G53" s="34"/>
      <x:c r="H53" s="30"/>
      <x:c r="I53" s="30"/>
      <x:c r="J53" s="30"/>
    </x:row>
    <x:row r="54">
      <x:c r="A54" s="30"/>
      <x:c r="B54" s="30"/>
      <x:c r="C54" s="30"/>
      <x:c r="D54" s="30"/>
      <x:c r="E54" s="30"/>
      <x:c r="F54" s="30"/>
      <x:c r="G54" s="34"/>
      <x:c r="H54" s="30"/>
      <x:c r="I54" s="30"/>
      <x:c r="J54" s="30"/>
    </x:row>
    <x:row r="55">
      <x:c r="A55" s="30"/>
      <x:c r="B55" s="30"/>
      <x:c r="C55" s="30"/>
      <x:c r="D55" s="30"/>
      <x:c r="E55" s="30"/>
      <x:c r="F55" s="30"/>
      <x:c r="G55" s="34"/>
      <x:c r="H55" s="30"/>
      <x:c r="I55" s="30"/>
      <x:c r="J55" s="30"/>
    </x:row>
    <x:row r="56">
      <x:c r="A56" s="30"/>
      <x:c r="B56" s="30"/>
      <x:c r="C56" s="30"/>
      <x:c r="D56" s="30"/>
      <x:c r="E56" s="30"/>
      <x:c r="F56" s="30"/>
      <x:c r="G56" s="34"/>
      <x:c r="H56" s="30"/>
      <x:c r="I56" s="30"/>
      <x:c r="J56" s="30"/>
    </x:row>
    <x:row r="57">
      <x:c r="A57" s="30"/>
      <x:c r="B57" s="30"/>
      <x:c r="C57" s="30"/>
      <x:c r="D57" s="30"/>
      <x:c r="E57" s="30"/>
      <x:c r="F57" s="30"/>
      <x:c r="G57" s="34"/>
      <x:c r="H57" s="30"/>
      <x:c r="I57" s="30"/>
      <x:c r="J57" s="30"/>
    </x:row>
    <x:row r="58">
      <x:c r="A58" s="30"/>
      <x:c r="B58" s="30"/>
      <x:c r="C58" s="30"/>
      <x:c r="D58" s="30"/>
      <x:c r="E58" s="30"/>
      <x:c r="F58" s="30"/>
      <x:c r="G58" s="34"/>
      <x:c r="H58" s="30"/>
      <x:c r="I58" s="30"/>
      <x:c r="J58" s="30"/>
    </x:row>
    <x:row r="59">
      <x:c r="A59" s="30"/>
      <x:c r="B59" s="30"/>
      <x:c r="C59" s="30"/>
      <x:c r="D59" s="30"/>
      <x:c r="E59" s="30"/>
      <x:c r="F59" s="30"/>
      <x:c r="G59" s="34"/>
      <x:c r="H59" s="30"/>
      <x:c r="I59" s="30"/>
      <x:c r="J59" s="30"/>
    </x:row>
    <x:row r="60">
      <x:c r="A60" s="30"/>
      <x:c r="B60" s="30"/>
      <x:c r="C60" s="30"/>
      <x:c r="D60" s="30"/>
      <x:c r="E60" s="30"/>
      <x:c r="F60" s="30"/>
      <x:c r="G60" s="34"/>
      <x:c r="H60" s="30"/>
      <x:c r="I60" s="30"/>
      <x:c r="J60" s="30"/>
    </x:row>
    <x:row r="61">
      <x:c r="A61" s="30"/>
      <x:c r="B61" s="30"/>
      <x:c r="C61" s="30"/>
      <x:c r="D61" s="30"/>
      <x:c r="E61" s="30"/>
      <x:c r="F61" s="30"/>
      <x:c r="G61" s="34"/>
      <x:c r="H61" s="30"/>
      <x:c r="I61" s="30"/>
      <x:c r="J61" s="30"/>
    </x:row>
    <x:row r="62">
      <x:c r="A62" s="30"/>
      <x:c r="B62" s="30"/>
      <x:c r="C62" s="30"/>
      <x:c r="D62" s="30"/>
      <x:c r="E62" s="30"/>
      <x:c r="F62" s="30"/>
      <x:c r="G62" s="34"/>
      <x:c r="H62" s="30"/>
      <x:c r="I62" s="30"/>
      <x:c r="J62" s="30"/>
    </x:row>
    <x:row r="63">
      <x:c r="A63" s="30"/>
      <x:c r="B63" s="30"/>
      <x:c r="C63" s="30"/>
      <x:c r="D63" s="30"/>
      <x:c r="E63" s="30"/>
      <x:c r="F63" s="30"/>
      <x:c r="G63" s="34"/>
      <x:c r="H63" s="30"/>
      <x:c r="I63" s="30"/>
      <x:c r="J63" s="30"/>
    </x:row>
    <x:row r="64">
      <x:c r="A64" s="30"/>
      <x:c r="B64" s="30"/>
      <x:c r="C64" s="30"/>
      <x:c r="D64" s="30"/>
      <x:c r="E64" s="30"/>
      <x:c r="F64" s="30"/>
      <x:c r="G64" s="34"/>
      <x:c r="H64" s="30"/>
      <x:c r="I64" s="30"/>
      <x:c r="J64" s="30"/>
    </x:row>
    <x:row r="65">
      <x:c r="A65" s="30"/>
      <x:c r="B65" s="30"/>
      <x:c r="C65" s="30"/>
      <x:c r="D65" s="30"/>
      <x:c r="E65" s="30"/>
      <x:c r="F65" s="30"/>
      <x:c r="G65" s="34"/>
      <x:c r="H65" s="30"/>
      <x:c r="I65" s="30"/>
      <x:c r="J65" s="30"/>
    </x:row>
    <x:row r="66">
      <x:c r="A66" s="30"/>
      <x:c r="B66" s="30"/>
      <x:c r="C66" s="30"/>
      <x:c r="D66" s="30"/>
      <x:c r="E66" s="30"/>
      <x:c r="F66" s="30"/>
      <x:c r="G66" s="34"/>
      <x:c r="H66" s="30"/>
      <x:c r="I66" s="30"/>
      <x:c r="J66" s="30"/>
    </x:row>
    <x:row r="67">
      <x:c r="A67" s="30"/>
      <x:c r="B67" s="30"/>
      <x:c r="C67" s="30"/>
      <x:c r="D67" s="30"/>
      <x:c r="E67" s="30"/>
      <x:c r="F67" s="30"/>
      <x:c r="G67" s="34"/>
      <x:c r="H67" s="30"/>
      <x:c r="I67" s="30"/>
      <x:c r="J67" s="30"/>
    </x:row>
    <x:row r="68">
      <x:c r="A68" s="30"/>
      <x:c r="B68" s="30"/>
      <x:c r="C68" s="30"/>
      <x:c r="D68" s="30"/>
      <x:c r="E68" s="30"/>
      <x:c r="F68" s="30"/>
      <x:c r="G68" s="34"/>
      <x:c r="H68" s="30"/>
      <x:c r="I68" s="30"/>
      <x:c r="J68" s="30"/>
    </x:row>
    <x:row r="69">
      <x:c r="A69" s="30"/>
      <x:c r="B69" s="30"/>
      <x:c r="C69" s="30"/>
      <x:c r="D69" s="30"/>
      <x:c r="E69" s="30"/>
      <x:c r="F69" s="30"/>
      <x:c r="G69" s="34"/>
      <x:c r="H69" s="30"/>
      <x:c r="I69" s="30"/>
      <x:c r="J69" s="30"/>
    </x:row>
    <x:row r="70">
      <x:c r="A70" s="30"/>
      <x:c r="B70" s="30"/>
      <x:c r="C70" s="30"/>
      <x:c r="D70" s="30"/>
      <x:c r="E70" s="30"/>
      <x:c r="F70" s="30"/>
      <x:c r="G70" s="34"/>
      <x:c r="H70" s="30"/>
      <x:c r="I70" s="30"/>
      <x:c r="J70" s="30"/>
    </x:row>
    <x:row r="71">
      <x:c r="A71" s="30"/>
      <x:c r="B71" s="30"/>
      <x:c r="C71" s="30"/>
      <x:c r="D71" s="30"/>
      <x:c r="E71" s="30"/>
      <x:c r="F71" s="30"/>
      <x:c r="G71" s="34"/>
      <x:c r="H71" s="30"/>
      <x:c r="I71" s="30"/>
      <x:c r="J71" s="30"/>
    </x:row>
    <x:row r="72">
      <x:c r="A72" s="30"/>
      <x:c r="B72" s="30"/>
      <x:c r="C72" s="30"/>
      <x:c r="D72" s="30"/>
      <x:c r="E72" s="30"/>
      <x:c r="F72" s="30"/>
      <x:c r="G72" s="34"/>
      <x:c r="H72" s="30"/>
      <x:c r="I72" s="30"/>
      <x:c r="J72" s="30"/>
    </x:row>
    <x:row r="73">
      <x:c r="A73" s="30"/>
      <x:c r="B73" s="30"/>
      <x:c r="C73" s="30"/>
      <x:c r="D73" s="30"/>
      <x:c r="E73" s="30"/>
      <x:c r="F73" s="30"/>
      <x:c r="G73" s="34"/>
      <x:c r="H73" s="30"/>
      <x:c r="I73" s="30"/>
      <x:c r="J73" s="30"/>
    </x:row>
    <x:row r="74">
      <x:c r="A74" s="30"/>
      <x:c r="B74" s="30"/>
      <x:c r="C74" s="30"/>
      <x:c r="D74" s="30"/>
      <x:c r="E74" s="30"/>
      <x:c r="F74" s="30"/>
      <x:c r="G74" s="34"/>
      <x:c r="H74" s="30"/>
      <x:c r="I74" s="30"/>
      <x:c r="J74" s="30"/>
    </x:row>
    <x:row r="75">
      <x:c r="A75" s="30"/>
      <x:c r="B75" s="30"/>
      <x:c r="C75" s="30"/>
      <x:c r="D75" s="30"/>
      <x:c r="E75" s="30"/>
      <x:c r="F75" s="30"/>
      <x:c r="G75" s="34"/>
      <x:c r="H75" s="30"/>
      <x:c r="I75" s="30"/>
      <x:c r="J75" s="30"/>
    </x:row>
    <x:row r="76">
      <x:c r="A76" s="30"/>
      <x:c r="B76" s="30"/>
      <x:c r="C76" s="30"/>
      <x:c r="D76" s="30"/>
      <x:c r="E76" s="30"/>
      <x:c r="F76" s="30"/>
      <x:c r="G76" s="34"/>
      <x:c r="H76" s="30"/>
      <x:c r="I76" s="30"/>
      <x:c r="J76" s="30"/>
    </x:row>
    <x:row r="77">
      <x:c r="A77" s="30"/>
      <x:c r="B77" s="30"/>
      <x:c r="C77" s="30"/>
      <x:c r="D77" s="30"/>
      <x:c r="E77" s="30"/>
      <x:c r="F77" s="30"/>
      <x:c r="G77" s="34"/>
      <x:c r="H77" s="30"/>
      <x:c r="I77" s="30"/>
      <x:c r="J77" s="30"/>
    </x:row>
    <x:row r="78">
      <x:c r="A78" s="30"/>
      <x:c r="B78" s="30"/>
      <x:c r="C78" s="30"/>
      <x:c r="D78" s="30"/>
      <x:c r="E78" s="30"/>
      <x:c r="F78" s="30"/>
      <x:c r="G78" s="34"/>
      <x:c r="H78" s="30"/>
      <x:c r="I78" s="30"/>
      <x:c r="J78" s="30"/>
    </x:row>
    <x:row r="79">
      <x:c r="A79" s="30"/>
      <x:c r="B79" s="30"/>
      <x:c r="C79" s="30"/>
      <x:c r="D79" s="30"/>
      <x:c r="E79" s="30"/>
      <x:c r="F79" s="30"/>
      <x:c r="G79" s="34"/>
      <x:c r="H79" s="30"/>
      <x:c r="I79" s="30"/>
      <x:c r="J79" s="30"/>
    </x:row>
    <x:row r="80">
      <x:c r="A80" s="30"/>
      <x:c r="B80" s="30"/>
      <x:c r="C80" s="30"/>
      <x:c r="D80" s="30"/>
      <x:c r="E80" s="30"/>
      <x:c r="F80" s="30"/>
      <x:c r="G80" s="34"/>
      <x:c r="H80" s="30"/>
      <x:c r="I80" s="30"/>
      <x:c r="J80" s="30"/>
    </x:row>
  </x:sheetData>
  <x:mergeCells>
    <x:mergeCell ref="A1:H2"/>
    <x:mergeCell ref="A3:H3"/>
  </x:mergeCells>
  <x:pageMargins left="0.7" right="0.7" top="0.75" bottom="0.75" header="0.3" footer="0.3"/>
</x:worksheet>
</file>