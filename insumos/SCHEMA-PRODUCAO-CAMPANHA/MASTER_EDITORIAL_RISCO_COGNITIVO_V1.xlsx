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7a6a84764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3c963b7f2544be8"/>
    <x:sheet xmlns:r="http://schemas.openxmlformats.org/officeDocument/2006/relationships" name="01_PROBLEMS" sheetId="2" r:id="Rb1af9d0da5454abc"/>
    <x:sheet xmlns:r="http://schemas.openxmlformats.org/officeDocument/2006/relationships" name="02_SOLUTIONS" sheetId="3" r:id="Rea1903e72243401b"/>
    <x:sheet xmlns:r="http://schemas.openxmlformats.org/officeDocument/2006/relationships" name="03_ASSET_FACTORY" sheetId="4" r:id="R64691ed582414884"/>
    <x:sheet xmlns:r="http://schemas.openxmlformats.org/officeDocument/2006/relationships" name="04_CONTENT_ARCHITECTURE" sheetId="5" r:id="R776efae74c9f44d6"/>
    <x:sheet xmlns:r="http://schemas.openxmlformats.org/officeDocument/2006/relationships" name="05_CTA_ROUTING" sheetId="6" r:id="Rc7fb6734c6144b07"/>
    <x:sheet xmlns:r="http://schemas.openxmlformats.org/officeDocument/2006/relationships" name="06_METRICS" sheetId="7" r:id="Rb8716915f1fe4988"/>
    <x:sheet xmlns:r="http://schemas.openxmlformats.org/officeDocument/2006/relationships" name="07_TAXONOMIES" sheetId="8" r:id="R5bce5e0031144acd"/>
    <x:sheet xmlns:r="http://schemas.openxmlformats.org/officeDocument/2006/relationships" name="08_AUTOMATION_MAP" sheetId="9" r:id="Rebf0916a2c9d482c"/>
    <x:sheet xmlns:r="http://schemas.openxmlformats.org/officeDocument/2006/relationships" name="09_DASHBOARD" sheetId="10" r:id="R5c4fed1636d9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D1D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1D1F"/>
      </x:patternFill>
    </x:fill>
    <x:fill>
      <x:patternFill patternType="solid">
        <x:fgColor rgb="FFF2F2F2"/>
      </x:patternFill>
    </x:fill>
  </x:fills>
  <x:borders count="8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6e0e94936d4f18" /><Relationship Type="http://schemas.openxmlformats.org/officeDocument/2006/relationships/theme" Target="/xl/theme/theme1.xml" Id="R89966080304841eb" /><Relationship Type="http://schemas.openxmlformats.org/officeDocument/2006/relationships/sharedStrings" Target="/xl/sharedStrings.xml" Id="R729abd8d8c234d8c" /><Relationship Type="http://schemas.openxmlformats.org/officeDocument/2006/relationships/worksheet" Target="/xl/worksheets/sheet1.xml" Id="Rf3c963b7f2544be8" /><Relationship Type="http://schemas.openxmlformats.org/officeDocument/2006/relationships/worksheet" Target="/xl/worksheets/sheet2.xml" Id="Rb1af9d0da5454abc" /><Relationship Type="http://schemas.openxmlformats.org/officeDocument/2006/relationships/worksheet" Target="/xl/worksheets/sheet3.xml" Id="Rea1903e72243401b" /><Relationship Type="http://schemas.openxmlformats.org/officeDocument/2006/relationships/worksheet" Target="/xl/worksheets/sheet4.xml" Id="R64691ed582414884" /><Relationship Type="http://schemas.openxmlformats.org/officeDocument/2006/relationships/worksheet" Target="/xl/worksheets/sheet5.xml" Id="R776efae74c9f44d6" /><Relationship Type="http://schemas.openxmlformats.org/officeDocument/2006/relationships/worksheet" Target="/xl/worksheets/sheet6.xml" Id="Rc7fb6734c6144b07" /><Relationship Type="http://schemas.openxmlformats.org/officeDocument/2006/relationships/worksheet" Target="/xl/worksheets/sheet7.xml" Id="Rb8716915f1fe4988" /><Relationship Type="http://schemas.openxmlformats.org/officeDocument/2006/relationships/worksheet" Target="/xl/worksheets/sheet8.xml" Id="R5bce5e0031144acd" /><Relationship Type="http://schemas.openxmlformats.org/officeDocument/2006/relationships/worksheet" Target="/xl/worksheets/sheet9.xml" Id="Rebf0916a2c9d482c" /><Relationship Type="http://schemas.openxmlformats.org/officeDocument/2006/relationships/worksheet" Target="/xl/worksheets/sheet10.xml" Id="R5c4fed1636d949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5bc704bd8646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de assets por formato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Qtd.</c:v>
          </c:tx>
          <c:cat>
            <c:strRef>
              <c:f>'09_DASHBOARD'!$A$12:$A$23</c:f>
              <c:strCache>
                <c:ptCount val="0"/>
              </c:strCache>
            </c:strRef>
          </c:cat>
          <c:val>
            <c:numRef>
              <c:f>'09_DASHBOARD'!$B$12:$B$23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5bc704bd8646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blemsTable" displayName="ProblemsTable" ref="A1:AC50" headerRowCount="1" totalsRowCount="0" totalsRowShown="0">
  <x:tableColumns count="29">
    <x:tableColumn id="1" name="problem_id"/>
    <x:tableColumn id="2" name="problem_title"/>
    <x:tableColumn id="3" name="problem_statement"/>
    <x:tableColumn id="4" name="audience"/>
    <x:tableColumn id="5" name="context"/>
    <x:tableColumn id="6" name="consequence"/>
    <x:tableColumn id="7" name="principle_mechanism"/>
    <x:tableColumn id="8" name="risk_ids"/>
    <x:tableColumn id="9" name="cognitive_cost_ids"/>
    <x:tableColumn id="10" name="evidence_ids"/>
    <x:tableColumn id="11" name="management_domain_ids"/>
    <x:tableColumn id="12" name="intervention"/>
    <x:tableColumn id="13" name="solution_id"/>
    <x:tableColumn id="14" name="before_state"/>
    <x:tableColumn id="15" name="after_state"/>
    <x:tableColumn id="16" name="next_action"/>
    <x:tableColumn id="17" name="success_metric"/>
    <x:tableColumn id="18" name="editorial_pillar"/>
    <x:tableColumn id="19" name="awareness_level"/>
    <x:tableColumn id="20" name="priority"/>
    <x:tableColumn id="21" name="status"/>
    <x:tableColumn id="22" name="asset_target"/>
    <x:tableColumn id="23" name="assets_generated"/>
    <x:tableColumn id="24" name="assets_published"/>
    <x:tableColumn id="25" name="tool_uses"/>
    <x:tableColumn id="26" name="conversion_rate"/>
    <x:tableColumn id="27" name="created_at"/>
    <x:tableColumn id="28" name="next_review"/>
    <x:tableColumn id="2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lutionsTable" displayName="SolutionsTable" ref="A1:Q100" headerRowCount="1" totalsRowCount="0" totalsRowShown="0">
  <x:tableColumns count="17">
    <x:tableColumn id="1" name="solution_id"/>
    <x:tableColumn id="2" name="solution_name"/>
    <x:tableColumn id="3" name="family"/>
    <x:tableColumn id="4" name="problem_id"/>
    <x:tableColumn id="5" name="input"/>
    <x:tableColumn id="6" name="transformation"/>
    <x:tableColumn id="7" name="output"/>
    <x:tableColumn id="8" name="method_ids"/>
    <x:tableColumn id="9" name="tactic_ids"/>
    <x:tableColumn id="10" name="technique_ids"/>
    <x:tableColumn id="11" name="control_ids"/>
    <x:tableColumn id="12" name="tool_ids"/>
    <x:tableColumn id="13" name="evidence_ids"/>
    <x:tableColumn id="14" name="status"/>
    <x:tableColumn id="15" name="offer_route"/>
    <x:tableColumn id="16" name="product_service_link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sTable" displayName="AssetsTable" ref="A1:AD300" headerRowCount="1" totalsRowCount="0" totalsRowShown="0">
  <x:tableColumns count="30">
    <x:tableColumn id="1" name="asset_id"/>
    <x:tableColumn id="2" name="problem_id"/>
    <x:tableColumn id="3" name="solution_id"/>
    <x:tableColumn id="4" name="asset_format"/>
    <x:tableColumn id="5" name="format_code"/>
    <x:tableColumn id="6" name="sequence"/>
    <x:tableColumn id="7" name="funnel_stage"/>
    <x:tableColumn id="8" name="channel"/>
    <x:tableColumn id="9" name="objective"/>
    <x:tableColumn id="10" name="core_message"/>
    <x:tableColumn id="11" name="hook"/>
    <x:tableColumn id="12" name="cta_id"/>
    <x:tableColumn id="13" name="source_evidence_ids"/>
    <x:tableColumn id="14" name="production_owner"/>
    <x:tableColumn id="15" name="status"/>
    <x:tableColumn id="16" name="version"/>
    <x:tableColumn id="17" name="planned_date"/>
    <x:tableColumn id="18" name="published_date"/>
    <x:tableColumn id="19" name="url"/>
    <x:tableColumn id="20" name="primary_kpi"/>
    <x:tableColumn id="21" name="views"/>
    <x:tableColumn id="22" name="saves"/>
    <x:tableColumn id="23" name="shares"/>
    <x:tableColumn id="24" name="clicks"/>
    <x:tableColumn id="25" name="tool_uses"/>
    <x:tableColumn id="26" name="leads"/>
    <x:tableColumn id="27" name="conversions"/>
    <x:tableColumn id="28" name="engagement_rate"/>
    <x:tableColumn id="29" name="reuse_status"/>
    <x:tableColumn id="3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ditorialArchitectureTable" displayName="EditorialArchitectureTable" ref="A1:F10" headerRowCount="1" totalsRowCount="0" totalsRowShown="0">
  <x:tableColumns count="6">
    <x:tableColumn id="1" name="order"/>
    <x:tableColumn id="2" name="editorial_stage"/>
    <x:tableColumn id="3" name="question"/>
    <x:tableColumn id="4" name="purpose"/>
    <x:tableColumn id="5" name="typical_output"/>
    <x:tableColumn id="6" name="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ATable" displayName="CTATable" ref="A1:I20" headerRowCount="1" totalsRowCount="0" totalsRowShown="0">
  <x:tableColumns count="9">
    <x:tableColumn id="1" name="cta_id"/>
    <x:tableColumn id="2" name="cta_name"/>
    <x:tableColumn id="3" name="intent"/>
    <x:tableColumn id="4" name="funnel_stage"/>
    <x:tableColumn id="5" name="next_step"/>
    <x:tableColumn id="6" name="destination_type"/>
    <x:tableColumn id="7" name="destination"/>
    <x:tableColumn id="8" name="primary_metric"/>
    <x:tableColumn id="9" name="copy_templ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" displayName="MetricsTable" ref="A1:O200" headerRowCount="1" totalsRowCount="0" totalsRowShown="0">
  <x:tableColumns count="15">
    <x:tableColumn id="1" name="problem_id"/>
    <x:tableColumn id="2" name="period"/>
    <x:tableColumn id="3" name="content_seen"/>
    <x:tableColumn id="4" name="saved"/>
    <x:tableColumn id="5" name="shared"/>
    <x:tableColumn id="6" name="tool_uses"/>
    <x:tableColumn id="7" name="returning_users"/>
    <x:tableColumn id="8" name="blog_visits"/>
    <x:tableColumn id="9" name="problems_submitted"/>
    <x:tableColumn id="10" name="help_requests"/>
    <x:tableColumn id="11" name="purchases"/>
    <x:tableColumn id="12" name="view_to_tool_rate"/>
    <x:tableColumn id="13" name="tool_to_help_rate"/>
    <x:tableColumn id="14" name="help_to_purchase_rate"/>
    <x:tableColumn id="1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xonomiesTable" displayName="TaxonomiesTable" ref="A1:D39" headerRowCount="1" totalsRowCount="0" totalsRowShown="0">
  <x:tableColumns count="4">
    <x:tableColumn id="1" name="taxonomy"/>
    <x:tableColumn id="2" name="code"/>
    <x:tableColumn id="3" name="value"/>
    <x:tableColumn id="4" name="defin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tomationMapTable" displayName="AutomationMapTable" ref="A1:H9" headerRowCount="1" totalsRowCount="0" totalsRowShown="0">
  <x:tableColumns count="8">
    <x:tableColumn id="1" name="step"/>
    <x:tableColumn id="2" name="trigger"/>
    <x:tableColumn id="3" name="required_condition"/>
    <x:tableColumn id="4" name="system_action"/>
    <x:tableColumn id="5" name="output"/>
    <x:tableColumn id="6" name="gate"/>
    <x:tableColumn id="7" name="human_decision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a654a5816a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4953bc720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1adf0c34c44d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d5f3921dab4d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de4729088948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35918f34674a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066ece7ad54a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f37d460bc745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4a6b0ecf5b3743d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4" t="str">
        <x:v>MASTER EDITORIAL · RISCO COGNITIVO · V1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Campo</x:v>
      </x:c>
      <x:c r="B3" s="17" t="str">
        <x:v>Definição</x:v>
      </x:c>
    </x:row>
    <x:row r="4">
      <x:c r="A4" s="28" t="str">
        <x:v>Unidade operacional</x:v>
      </x:c>
      <x:c r="B4" s="28" t="str">
        <x:v>1 problema → 1 solução → múltiplos assets</x:v>
      </x:c>
    </x:row>
    <x:row r="5">
      <x:c r="A5" s="28" t="str">
        <x:v>Objeto primário</x:v>
      </x:c>
      <x:c r="B5" s="28" t="str">
        <x:v>PROBLEM: problema cognitivo real pesquisado uma única vez</x:v>
      </x:c>
    </x:row>
    <x:row r="6">
      <x:c r="A6" s="28" t="str">
        <x:v>Objeto secundário</x:v>
      </x:c>
      <x:c r="B6" s="28" t="str">
        <x:v>SOLUTION: intervenção/ferramenta que materializa a solução</x:v>
      </x:c>
    </x:row>
    <x:row r="7">
      <x:c r="A7" s="28" t="str">
        <x:v>Objeto derivado</x:v>
      </x:c>
      <x:c r="B7" s="28" t="str">
        <x:v>ASSET: adaptação do mesmo conhecimento para canal, formato e objetivo específicos</x:v>
      </x:c>
    </x:row>
    <x:row r="8">
      <x:c r="A8" s="28" t="str">
        <x:v>Regra de pesquisa</x:v>
      </x:c>
      <x:c r="B8" s="28" t="str">
        <x:v>A evidência e o raciocínio permanecem ligados ao PROBLEM; assets apenas herdam e adaptam.</x:v>
      </x:c>
    </x:row>
    <x:row r="9">
      <x:c r="A9" s="28" t="str">
        <x:v>Regra editorial</x:v>
      </x:c>
      <x:c r="B9" s="28" t="str">
        <x:v>CENA → PROBLEMA → RECONHECIMENTO → EXPLICAÇÃO → SOLUÇÃO → DEMONSTRAÇÃO → FERRAMENTA → RESULTADO → CTA</x:v>
      </x:c>
    </x:row>
    <x:row r="10">
      <x:c r="A10" s="28" t="str">
        <x:v>Funil</x:v>
      </x:c>
      <x:c r="B10" s="28" t="str">
        <x:v>Descoberta → Resolução → Aprofundamento → Conversão → Retenção</x:v>
      </x:c>
    </x:row>
    <x:row r="11">
      <x:c r="A11" s="28" t="str">
        <x:v>Integração metodológica</x:v>
      </x:c>
      <x:c r="B11" s="28" t="str">
        <x:v>Cada problema deve apontar para IDs de risco, custo cognitivo, evidência, domínio de gestão e intervenção do Master Metodológico V2.</x:v>
      </x:c>
    </x:row>
    <x:row r="12">
      <x:c r="A12" s="28" t="str">
        <x:v>Famílias proprietárias</x:v>
      </x:c>
      <x:c r="B12" s="28" t="str">
        <x:v>Conversor · Scanner · Mapa · Checklist · Prisma · Protocolo</x:v>
      </x:c>
    </x:row>
    <x:row r="13">
      <x:c r="A13" s="28" t="str">
        <x:v>KPI nuclear</x:v>
      </x:c>
      <x:c r="B13" s="28" t="str">
        <x:v>conteúdo visto → ferramenta utilizada → próxima ação realizada</x:v>
      </x:c>
    </x:row>
    <x:row r="14">
      <x:c r="A14" s="28" t="str">
        <x:v>Status do fluxo</x:v>
      </x:c>
      <x:c r="B14" s="28" t="str">
        <x:v>Ideia → Pesquisa → Validado → Solução → Assets → Revisão → Agendado → Publicado → Medido → Reciclar</x:v>
      </x:c>
    </x:row>
    <x:row r="15">
      <x:c r="A15" s="28" t="str">
        <x:v>ID de problema</x:v>
      </x:c>
      <x:c r="B15" s="28" t="str">
        <x:v>RC-PROBLEM-NNN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4" hidden="0" customWidth="1"/>
    <x:col min="5" max="5" width="36" hidden="0" customWidth="1"/>
    <x:col min="6" max="6" width="40" hidden="0" customWidth="1"/>
    <x:col min="7" max="7" width="46" hidden="0" customWidth="1"/>
    <x:col min="8" max="8" width="22" hidden="0" customWidth="1"/>
    <x:col min="9" max="9" width="22" hidden="0" customWidth="1"/>
    <x:col min="10" max="10" width="30" hidden="0" customWidth="1"/>
    <x:col min="11" max="11" width="28" hidden="0" customWidth="1"/>
    <x:col min="12" max="12" width="42" hidden="0" customWidth="1"/>
    <x:col min="13" max="13" width="18" hidden="0" customWidth="1"/>
    <x:col min="14" max="14" width="36" hidden="0" customWidth="1"/>
    <x:col min="15" max="15" width="36" hidden="0" customWidth="1"/>
    <x:col min="16" max="16" width="30" hidden="0" customWidth="1"/>
    <x:col min="17" max="17" width="34" hidden="0" customWidth="1"/>
    <x:col min="18" max="18" width="28" hidden="0" customWidth="1"/>
    <x:col min="19" max="19" width="24" hidden="0" customWidth="1"/>
    <x:col min="20" max="20" width="12" hidden="0" customWidth="1"/>
    <x:col min="21" max="21" width="14" hidden="0" customWidth="1"/>
    <x:col min="22" max="22" width="12" hidden="0" customWidth="1"/>
    <x:col min="23" max="23" width="14" hidden="0" customWidth="1"/>
    <x:col min="24" max="24" width="14" hidden="0" customWidth="1"/>
    <x:col min="25" max="25" width="12" hidden="0" customWidth="1"/>
    <x:col min="26" max="26" width="14" hidden="0" customWidth="1"/>
    <x:col min="27" max="27" width="13" hidden="0" customWidth="1"/>
    <x:col min="28" max="28" width="13" hidden="0" customWidth="1"/>
    <x:col min="29" max="29" width="42" hidden="0" customWidth="1"/>
  </x:cols>
  <x:sheetData>
    <x:row r="1">
      <x:c r="A1" s="16" t="str">
        <x:v>problem_id</x:v>
      </x:c>
      <x:c r="B1" s="33" t="str">
        <x:v>problem_title</x:v>
      </x:c>
      <x:c r="C1" s="33" t="str">
        <x:v>problem_statement</x:v>
      </x:c>
      <x:c r="D1" s="33" t="str">
        <x:v>audience</x:v>
      </x:c>
      <x:c r="E1" s="33" t="str">
        <x:v>context</x:v>
      </x:c>
      <x:c r="F1" s="33" t="str">
        <x:v>consequence</x:v>
      </x:c>
      <x:c r="G1" s="33" t="str">
        <x:v>principle_mechanism</x:v>
      </x:c>
      <x:c r="H1" s="33" t="str">
        <x:v>risk_ids</x:v>
      </x:c>
      <x:c r="I1" s="33" t="str">
        <x:v>cognitive_cost_ids</x:v>
      </x:c>
      <x:c r="J1" s="33" t="str">
        <x:v>evidence_ids</x:v>
      </x:c>
      <x:c r="K1" s="33" t="str">
        <x:v>management_domain_ids</x:v>
      </x:c>
      <x:c r="L1" s="33" t="str">
        <x:v>intervention</x:v>
      </x:c>
      <x:c r="M1" s="33" t="str">
        <x:v>solution_id</x:v>
      </x:c>
      <x:c r="N1" s="33" t="str">
        <x:v>before_state</x:v>
      </x:c>
      <x:c r="O1" s="33" t="str">
        <x:v>after_state</x:v>
      </x:c>
      <x:c r="P1" s="33" t="str">
        <x:v>next_action</x:v>
      </x:c>
      <x:c r="Q1" s="33" t="str">
        <x:v>success_metric</x:v>
      </x:c>
      <x:c r="R1" s="33" t="str">
        <x:v>editorial_pillar</x:v>
      </x:c>
      <x:c r="S1" s="33" t="str">
        <x:v>awareness_level</x:v>
      </x:c>
      <x:c r="T1" s="33" t="str">
        <x:v>priority</x:v>
      </x:c>
      <x:c r="U1" s="33" t="str">
        <x:v>status</x:v>
      </x:c>
      <x:c r="V1" s="33" t="str">
        <x:v>asset_target</x:v>
      </x:c>
      <x:c r="W1" s="33" t="str">
        <x:v>assets_generated</x:v>
      </x:c>
      <x:c r="X1" s="33" t="str">
        <x:v>assets_published</x:v>
      </x:c>
      <x:c r="Y1" s="33" t="str">
        <x:v>tool_uses</x:v>
      </x:c>
      <x:c r="Z1" s="33" t="str">
        <x:v>conversion_rate</x:v>
      </x:c>
      <x:c r="AA1" s="33" t="str">
        <x:v>created_at</x:v>
      </x:c>
      <x:c r="AB1" s="33" t="str">
        <x:v>next_review</x:v>
      </x:c>
      <x:c r="AC1" s="17" t="str">
        <x:v>notes</x:v>
      </x:c>
    </x:row>
    <x:row r="2">
      <x:c r="A2" s="28" t="str">
        <x:v>RC-PROBLEM-001</x:v>
      </x:c>
      <x:c r="B2" s="28" t="str">
        <x:v>Sobrecarga ao ler relatórios</x:v>
      </x:c>
      <x:c r="C2" s="28" t="str">
        <x:v>Relatórios longos, densos e pouco hierarquizados aumentam esforço de busca, memória de trabalho e manutenção de contexto.</x:v>
      </x:c>
      <x:c r="D2" s="28" t="str">
        <x:v>Profissionais, autônomos, empreendedores e estudantes</x:v>
      </x:c>
      <x:c r="E2" s="28" t="str">
        <x:v>Leitura de relatórios, documentos técnicos e textos extensos</x:v>
      </x:c>
      <x:c r="F2" s="28" t="str">
        <x:v>Releitura, lentidão, perda de informação crítica, abandono ou fadiga</x:v>
      </x:c>
      <x:c r="G2" s="28" t="str">
        <x:v>Sobrecarga informacional + memória de trabalho limitada + hierarquia informacional inadequada</x:v>
      </x:c>
      <x:c r="H2" s="28" t="str">
        <x:v>CRISK-001; CRISK-005</x:v>
      </x:c>
      <x:c r="I2" s="28" t="str">
        <x:v>CCOST-001; CCOST-002; CCOST-014</x:v>
      </x:c>
      <x:c r="J2" s="28" t="str">
        <x:v>SCI-WM-001; WEB-W3C-001; WEB-W3C-003</x:v>
      </x:c>
      <x:c r="K2" s="28" t="str">
        <x:v>PMX-008; BPM-003; RISK-003</x:v>
      </x:c>
      <x:c r="L2" s="28" t="str">
        <x:v>Reestruturar a informação em hierarquia cognitiva e caminho de leitura curto</x:v>
      </x:c>
      <x:c r="M2" s="28" t="str">
        <x:v>RC-SOLUTION-001</x:v>
      </x:c>
      <x:c r="N2" s="28" t="str">
        <x:v>Relatório linear, denso e com alta carga de busca</x:v>
      </x:c>
      <x:c r="O2" s="28" t="str">
        <x:v>Relatório hierarquizado, escaneável e orientado à ação</x:v>
      </x:c>
      <x:c r="P2" s="28" t="str">
        <x:v>Testar o Conversor de Relatório</x:v>
      </x:c>
      <x:c r="Q2" s="28" t="str">
        <x:v>Uso da ferramenta + redução de releitura + conclusão da leitura</x:v>
      </x:c>
      <x:c r="R2" s="28" t="str">
        <x:v>Controles e Ergonomia</x:v>
      </x:c>
      <x:c r="S2" s="28" t="str">
        <x:v>Consciente da solução</x:v>
      </x:c>
      <x:c r="T2" s="28" t="str">
        <x:v>Alta</x:v>
      </x:c>
      <x:c r="U2" s="28" t="str">
        <x:v>Validado</x:v>
      </x:c>
      <x:c r="V2" s="28" t="n">
        <x:v>12</x:v>
      </x:c>
      <x:c r="W2" s="28" t="n">
        <x:f>COUNTIF('03_ASSET_FACTORY'!$B$2:$B$300,A2)</x:f>
        <x:v>12</x:v>
      </x:c>
      <x:c r="X2" s="28" t="n">
        <x:f>COUNTIFS('03_ASSET_FACTORY'!$B$2:$B$300,A2,'03_ASSET_FACTORY'!$O$2:$O$300,"Publicado")</x:f>
        <x:v>0</x:v>
      </x:c>
      <x:c r="Y2" s="28" t="n">
        <x:f>SUMIF('06_METRICS'!$A$2:$A$200,A2,'06_METRICS'!$F$2:$F$200)</x:f>
        <x:v>0</x:v>
      </x:c>
      <x:c r="Z2" s="42" t="n">
        <x:f>IFERROR(SUMIF('06_METRICS'!$A$2:$A$200,A2,'06_METRICS'!$K$2:$K$200)/SUMIF('06_METRICS'!$A$2:$A$200,A2,'06_METRICS'!$C$2:$C$200),0)</x:f>
        <x:v>0</x:v>
      </x:c>
      <x:c r="AA2" s="43" t="n">
        <x:v>46268</x:v>
      </x:c>
      <x:c r="AB2" s="43" t="n">
        <x:v>46275</x:v>
      </x:c>
      <x:c r="AC2" s="28" t="str">
        <x:v>Problema canônico de exemplo; pesquisar uma vez e derivar todos os assets.</x:v>
      </x:c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 t="n">
        <x:f>COUNTIF('03_ASSET_FACTORY'!$B$2:$B$300,A3)</x:f>
        <x:v>0</x:v>
      </x:c>
      <x:c r="X3" s="28" t="n">
        <x:f>COUNTIFS('03_ASSET_FACTORY'!$B$2:$B$300,A3,'03_ASSET_FACTORY'!$O$2:$O$300,"Publicado")</x:f>
        <x:v>0</x:v>
      </x:c>
      <x:c r="Y3" s="28" t="n">
        <x:f>SUMIF('06_METRICS'!$A$2:$A$200,A3,'06_METRICS'!$F$2:$F$200)</x:f>
        <x:v>0</x:v>
      </x:c>
      <x:c r="Z3" s="42" t="n">
        <x:f>IFERROR(SUMIF('06_METRICS'!$A$2:$A$200,A3,'06_METRICS'!$K$2:$K$200)/SUMIF('06_METRICS'!$A$2:$A$200,A3,'06_METRICS'!$C$2:$C$200),0)</x:f>
        <x:v>0</x:v>
      </x:c>
      <x:c r="AA3" s="43"/>
      <x:c r="AB3" s="43"/>
      <x:c r="AC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 t="n">
        <x:f>COUNTIF('03_ASSET_FACTORY'!$B$2:$B$300,A4)</x:f>
        <x:v>0</x:v>
      </x:c>
      <x:c r="X4" s="28" t="n">
        <x:f>COUNTIFS('03_ASSET_FACTORY'!$B$2:$B$300,A4,'03_ASSET_FACTORY'!$O$2:$O$300,"Publicado")</x:f>
        <x:v>0</x:v>
      </x:c>
      <x:c r="Y4" s="28" t="n">
        <x:f>SUMIF('06_METRICS'!$A$2:$A$200,A4,'06_METRICS'!$F$2:$F$200)</x:f>
        <x:v>0</x:v>
      </x:c>
      <x:c r="Z4" s="42" t="n">
        <x:f>IFERROR(SUMIF('06_METRICS'!$A$2:$A$200,A4,'06_METRICS'!$K$2:$K$200)/SUMIF('06_METRICS'!$A$2:$A$200,A4,'06_METRICS'!$C$2:$C$200),0)</x:f>
        <x:v>0</x:v>
      </x:c>
      <x:c r="AA4" s="43"/>
      <x:c r="AB4" s="43"/>
      <x:c r="AC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 t="n">
        <x:f>COUNTIF('03_ASSET_FACTORY'!$B$2:$B$300,A5)</x:f>
        <x:v>0</x:v>
      </x:c>
      <x:c r="X5" s="28" t="n">
        <x:f>COUNTIFS('03_ASSET_FACTORY'!$B$2:$B$300,A5,'03_ASSET_FACTORY'!$O$2:$O$300,"Publicado")</x:f>
        <x:v>0</x:v>
      </x:c>
      <x:c r="Y5" s="28" t="n">
        <x:f>SUMIF('06_METRICS'!$A$2:$A$200,A5,'06_METRICS'!$F$2:$F$200)</x:f>
        <x:v>0</x:v>
      </x:c>
      <x:c r="Z5" s="42" t="n">
        <x:f>IFERROR(SUMIF('06_METRICS'!$A$2:$A$200,A5,'06_METRICS'!$K$2:$K$200)/SUMIF('06_METRICS'!$A$2:$A$200,A5,'06_METRICS'!$C$2:$C$200),0)</x:f>
        <x:v>0</x:v>
      </x:c>
      <x:c r="AA5" s="43"/>
      <x:c r="AB5" s="43"/>
      <x:c r="AC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 t="n">
        <x:f>COUNTIF('03_ASSET_FACTORY'!$B$2:$B$300,A6)</x:f>
        <x:v>0</x:v>
      </x:c>
      <x:c r="X6" s="28" t="n">
        <x:f>COUNTIFS('03_ASSET_FACTORY'!$B$2:$B$300,A6,'03_ASSET_FACTORY'!$O$2:$O$300,"Publicado")</x:f>
        <x:v>0</x:v>
      </x:c>
      <x:c r="Y6" s="28" t="n">
        <x:f>SUMIF('06_METRICS'!$A$2:$A$200,A6,'06_METRICS'!$F$2:$F$200)</x:f>
        <x:v>0</x:v>
      </x:c>
      <x:c r="Z6" s="42" t="n">
        <x:f>IFERROR(SUMIF('06_METRICS'!$A$2:$A$200,A6,'06_METRICS'!$K$2:$K$200)/SUMIF('06_METRICS'!$A$2:$A$200,A6,'06_METRICS'!$C$2:$C$200),0)</x:f>
        <x:v>0</x:v>
      </x:c>
      <x:c r="AA6" s="43"/>
      <x:c r="AB6" s="43"/>
      <x:c r="AC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 t="n">
        <x:f>COUNTIF('03_ASSET_FACTORY'!$B$2:$B$300,A7)</x:f>
        <x:v>0</x:v>
      </x:c>
      <x:c r="X7" s="28" t="n">
        <x:f>COUNTIFS('03_ASSET_FACTORY'!$B$2:$B$300,A7,'03_ASSET_FACTORY'!$O$2:$O$300,"Publicado")</x:f>
        <x:v>0</x:v>
      </x:c>
      <x:c r="Y7" s="28" t="n">
        <x:f>SUMIF('06_METRICS'!$A$2:$A$200,A7,'06_METRICS'!$F$2:$F$200)</x:f>
        <x:v>0</x:v>
      </x:c>
      <x:c r="Z7" s="42" t="n">
        <x:f>IFERROR(SUMIF('06_METRICS'!$A$2:$A$200,A7,'06_METRICS'!$K$2:$K$200)/SUMIF('06_METRICS'!$A$2:$A$200,A7,'06_METRICS'!$C$2:$C$200),0)</x:f>
        <x:v>0</x:v>
      </x:c>
      <x:c r="AA7" s="43"/>
      <x:c r="AB7" s="43"/>
      <x:c r="AC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 t="n">
        <x:f>COUNTIF('03_ASSET_FACTORY'!$B$2:$B$300,A8)</x:f>
        <x:v>0</x:v>
      </x:c>
      <x:c r="X8" s="28" t="n">
        <x:f>COUNTIFS('03_ASSET_FACTORY'!$B$2:$B$300,A8,'03_ASSET_FACTORY'!$O$2:$O$300,"Publicado")</x:f>
        <x:v>0</x:v>
      </x:c>
      <x:c r="Y8" s="28" t="n">
        <x:f>SUMIF('06_METRICS'!$A$2:$A$200,A8,'06_METRICS'!$F$2:$F$200)</x:f>
        <x:v>0</x:v>
      </x:c>
      <x:c r="Z8" s="42" t="n">
        <x:f>IFERROR(SUMIF('06_METRICS'!$A$2:$A$200,A8,'06_METRICS'!$K$2:$K$200)/SUMIF('06_METRICS'!$A$2:$A$200,A8,'06_METRICS'!$C$2:$C$200),0)</x:f>
        <x:v>0</x:v>
      </x:c>
      <x:c r="AA8" s="43"/>
      <x:c r="AB8" s="43"/>
      <x:c r="AC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 t="n">
        <x:f>COUNTIF('03_ASSET_FACTORY'!$B$2:$B$300,A9)</x:f>
        <x:v>0</x:v>
      </x:c>
      <x:c r="X9" s="28" t="n">
        <x:f>COUNTIFS('03_ASSET_FACTORY'!$B$2:$B$300,A9,'03_ASSET_FACTORY'!$O$2:$O$300,"Publicado")</x:f>
        <x:v>0</x:v>
      </x:c>
      <x:c r="Y9" s="28" t="n">
        <x:f>SUMIF('06_METRICS'!$A$2:$A$200,A9,'06_METRICS'!$F$2:$F$200)</x:f>
        <x:v>0</x:v>
      </x:c>
      <x:c r="Z9" s="42" t="n">
        <x:f>IFERROR(SUMIF('06_METRICS'!$A$2:$A$200,A9,'06_METRICS'!$K$2:$K$200)/SUMIF('06_METRICS'!$A$2:$A$200,A9,'06_METRICS'!$C$2:$C$200),0)</x:f>
        <x:v>0</x:v>
      </x:c>
      <x:c r="AA9" s="43"/>
      <x:c r="AB9" s="43"/>
      <x:c r="AC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 t="n">
        <x:f>COUNTIF('03_ASSET_FACTORY'!$B$2:$B$300,A10)</x:f>
        <x:v>0</x:v>
      </x:c>
      <x:c r="X10" s="28" t="n">
        <x:f>COUNTIFS('03_ASSET_FACTORY'!$B$2:$B$300,A10,'03_ASSET_FACTORY'!$O$2:$O$300,"Publicado")</x:f>
        <x:v>0</x:v>
      </x:c>
      <x:c r="Y10" s="28" t="n">
        <x:f>SUMIF('06_METRICS'!$A$2:$A$200,A10,'06_METRICS'!$F$2:$F$200)</x:f>
        <x:v>0</x:v>
      </x:c>
      <x:c r="Z10" s="42" t="n">
        <x:f>IFERROR(SUMIF('06_METRICS'!$A$2:$A$200,A10,'06_METRICS'!$K$2:$K$200)/SUMIF('06_METRICS'!$A$2:$A$200,A10,'06_METRICS'!$C$2:$C$200),0)</x:f>
        <x:v>0</x:v>
      </x:c>
      <x:c r="AA10" s="43"/>
      <x:c r="AB10" s="43"/>
      <x:c r="AC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 t="n">
        <x:f>COUNTIF('03_ASSET_FACTORY'!$B$2:$B$300,A11)</x:f>
        <x:v>0</x:v>
      </x:c>
      <x:c r="X11" s="28" t="n">
        <x:f>COUNTIFS('03_ASSET_FACTORY'!$B$2:$B$300,A11,'03_ASSET_FACTORY'!$O$2:$O$300,"Publicado")</x:f>
        <x:v>0</x:v>
      </x:c>
      <x:c r="Y11" s="28" t="n">
        <x:f>SUMIF('06_METRICS'!$A$2:$A$200,A11,'06_METRICS'!$F$2:$F$200)</x:f>
        <x:v>0</x:v>
      </x:c>
      <x:c r="Z11" s="42" t="n">
        <x:f>IFERROR(SUMIF('06_METRICS'!$A$2:$A$200,A11,'06_METRICS'!$K$2:$K$200)/SUMIF('06_METRICS'!$A$2:$A$200,A11,'06_METRICS'!$C$2:$C$200),0)</x:f>
        <x:v>0</x:v>
      </x:c>
      <x:c r="AA11" s="43"/>
      <x:c r="AB11" s="43"/>
      <x:c r="AC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 t="n">
        <x:f>COUNTIF('03_ASSET_FACTORY'!$B$2:$B$300,A12)</x:f>
        <x:v>0</x:v>
      </x:c>
      <x:c r="X12" s="28" t="n">
        <x:f>COUNTIFS('03_ASSET_FACTORY'!$B$2:$B$300,A12,'03_ASSET_FACTORY'!$O$2:$O$300,"Publicado")</x:f>
        <x:v>0</x:v>
      </x:c>
      <x:c r="Y12" s="28" t="n">
        <x:f>SUMIF('06_METRICS'!$A$2:$A$200,A12,'06_METRICS'!$F$2:$F$200)</x:f>
        <x:v>0</x:v>
      </x:c>
      <x:c r="Z12" s="42" t="n">
        <x:f>IFERROR(SUMIF('06_METRICS'!$A$2:$A$200,A12,'06_METRICS'!$K$2:$K$200)/SUMIF('06_METRICS'!$A$2:$A$200,A12,'06_METRICS'!$C$2:$C$200),0)</x:f>
        <x:v>0</x:v>
      </x:c>
      <x:c r="AA12" s="43"/>
      <x:c r="AB12" s="43"/>
      <x:c r="AC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 t="n">
        <x:f>COUNTIF('03_ASSET_FACTORY'!$B$2:$B$300,A13)</x:f>
        <x:v>0</x:v>
      </x:c>
      <x:c r="X13" s="28" t="n">
        <x:f>COUNTIFS('03_ASSET_FACTORY'!$B$2:$B$300,A13,'03_ASSET_FACTORY'!$O$2:$O$300,"Publicado")</x:f>
        <x:v>0</x:v>
      </x:c>
      <x:c r="Y13" s="28" t="n">
        <x:f>SUMIF('06_METRICS'!$A$2:$A$200,A13,'06_METRICS'!$F$2:$F$200)</x:f>
        <x:v>0</x:v>
      </x:c>
      <x:c r="Z13" s="42" t="n">
        <x:f>IFERROR(SUMIF('06_METRICS'!$A$2:$A$200,A13,'06_METRICS'!$K$2:$K$200)/SUMIF('06_METRICS'!$A$2:$A$200,A13,'06_METRICS'!$C$2:$C$200),0)</x:f>
        <x:v>0</x:v>
      </x:c>
      <x:c r="AA13" s="43"/>
      <x:c r="AB13" s="43"/>
      <x:c r="AC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 t="n">
        <x:f>COUNTIF('03_ASSET_FACTORY'!$B$2:$B$300,A14)</x:f>
        <x:v>0</x:v>
      </x:c>
      <x:c r="X14" s="28" t="n">
        <x:f>COUNTIFS('03_ASSET_FACTORY'!$B$2:$B$300,A14,'03_ASSET_FACTORY'!$O$2:$O$300,"Publicado")</x:f>
        <x:v>0</x:v>
      </x:c>
      <x:c r="Y14" s="28" t="n">
        <x:f>SUMIF('06_METRICS'!$A$2:$A$200,A14,'06_METRICS'!$F$2:$F$200)</x:f>
        <x:v>0</x:v>
      </x:c>
      <x:c r="Z14" s="42" t="n">
        <x:f>IFERROR(SUMIF('06_METRICS'!$A$2:$A$200,A14,'06_METRICS'!$K$2:$K$200)/SUMIF('06_METRICS'!$A$2:$A$200,A14,'06_METRICS'!$C$2:$C$200),0)</x:f>
        <x:v>0</x:v>
      </x:c>
      <x:c r="AA14" s="43"/>
      <x:c r="AB14" s="43"/>
      <x:c r="AC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 t="n">
        <x:f>COUNTIF('03_ASSET_FACTORY'!$B$2:$B$300,A15)</x:f>
        <x:v>0</x:v>
      </x:c>
      <x:c r="X15" s="28" t="n">
        <x:f>COUNTIFS('03_ASSET_FACTORY'!$B$2:$B$300,A15,'03_ASSET_FACTORY'!$O$2:$O$300,"Publicado")</x:f>
        <x:v>0</x:v>
      </x:c>
      <x:c r="Y15" s="28" t="n">
        <x:f>SUMIF('06_METRICS'!$A$2:$A$200,A15,'06_METRICS'!$F$2:$F$200)</x:f>
        <x:v>0</x:v>
      </x:c>
      <x:c r="Z15" s="42" t="n">
        <x:f>IFERROR(SUMIF('06_METRICS'!$A$2:$A$200,A15,'06_METRICS'!$K$2:$K$200)/SUMIF('06_METRICS'!$A$2:$A$200,A15,'06_METRICS'!$C$2:$C$200),0)</x:f>
        <x:v>0</x:v>
      </x:c>
      <x:c r="AA15" s="43"/>
      <x:c r="AB15" s="43"/>
      <x:c r="AC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 t="n">
        <x:f>COUNTIF('03_ASSET_FACTORY'!$B$2:$B$300,A16)</x:f>
        <x:v>0</x:v>
      </x:c>
      <x:c r="X16" s="28" t="n">
        <x:f>COUNTIFS('03_ASSET_FACTORY'!$B$2:$B$300,A16,'03_ASSET_FACTORY'!$O$2:$O$300,"Publicado")</x:f>
        <x:v>0</x:v>
      </x:c>
      <x:c r="Y16" s="28" t="n">
        <x:f>SUMIF('06_METRICS'!$A$2:$A$200,A16,'06_METRICS'!$F$2:$F$200)</x:f>
        <x:v>0</x:v>
      </x:c>
      <x:c r="Z16" s="42" t="n">
        <x:f>IFERROR(SUMIF('06_METRICS'!$A$2:$A$200,A16,'06_METRICS'!$K$2:$K$200)/SUMIF('06_METRICS'!$A$2:$A$200,A16,'06_METRICS'!$C$2:$C$200),0)</x:f>
        <x:v>0</x:v>
      </x:c>
      <x:c r="AA16" s="43"/>
      <x:c r="AB16" s="43"/>
      <x:c r="AC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 t="n">
        <x:f>COUNTIF('03_ASSET_FACTORY'!$B$2:$B$300,A17)</x:f>
        <x:v>0</x:v>
      </x:c>
      <x:c r="X17" s="28" t="n">
        <x:f>COUNTIFS('03_ASSET_FACTORY'!$B$2:$B$300,A17,'03_ASSET_FACTORY'!$O$2:$O$300,"Publicado")</x:f>
        <x:v>0</x:v>
      </x:c>
      <x:c r="Y17" s="28" t="n">
        <x:f>SUMIF('06_METRICS'!$A$2:$A$200,A17,'06_METRICS'!$F$2:$F$200)</x:f>
        <x:v>0</x:v>
      </x:c>
      <x:c r="Z17" s="42" t="n">
        <x:f>IFERROR(SUMIF('06_METRICS'!$A$2:$A$200,A17,'06_METRICS'!$K$2:$K$200)/SUMIF('06_METRICS'!$A$2:$A$200,A17,'06_METRICS'!$C$2:$C$200),0)</x:f>
        <x:v>0</x:v>
      </x:c>
      <x:c r="AA17" s="43"/>
      <x:c r="AB17" s="43"/>
      <x:c r="AC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 t="n">
        <x:f>COUNTIF('03_ASSET_FACTORY'!$B$2:$B$300,A18)</x:f>
        <x:v>0</x:v>
      </x:c>
      <x:c r="X18" s="28" t="n">
        <x:f>COUNTIFS('03_ASSET_FACTORY'!$B$2:$B$300,A18,'03_ASSET_FACTORY'!$O$2:$O$300,"Publicado")</x:f>
        <x:v>0</x:v>
      </x:c>
      <x:c r="Y18" s="28" t="n">
        <x:f>SUMIF('06_METRICS'!$A$2:$A$200,A18,'06_METRICS'!$F$2:$F$200)</x:f>
        <x:v>0</x:v>
      </x:c>
      <x:c r="Z18" s="42" t="n">
        <x:f>IFERROR(SUMIF('06_METRICS'!$A$2:$A$200,A18,'06_METRICS'!$K$2:$K$200)/SUMIF('06_METRICS'!$A$2:$A$200,A18,'06_METRICS'!$C$2:$C$200),0)</x:f>
        <x:v>0</x:v>
      </x:c>
      <x:c r="AA18" s="43"/>
      <x:c r="AB18" s="43"/>
      <x:c r="AC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 t="n">
        <x:f>COUNTIF('03_ASSET_FACTORY'!$B$2:$B$300,A19)</x:f>
        <x:v>0</x:v>
      </x:c>
      <x:c r="X19" s="28" t="n">
        <x:f>COUNTIFS('03_ASSET_FACTORY'!$B$2:$B$300,A19,'03_ASSET_FACTORY'!$O$2:$O$300,"Publicado")</x:f>
        <x:v>0</x:v>
      </x:c>
      <x:c r="Y19" s="28" t="n">
        <x:f>SUMIF('06_METRICS'!$A$2:$A$200,A19,'06_METRICS'!$F$2:$F$200)</x:f>
        <x:v>0</x:v>
      </x:c>
      <x:c r="Z19" s="42" t="n">
        <x:f>IFERROR(SUMIF('06_METRICS'!$A$2:$A$200,A19,'06_METRICS'!$K$2:$K$200)/SUMIF('06_METRICS'!$A$2:$A$200,A19,'06_METRICS'!$C$2:$C$200),0)</x:f>
        <x:v>0</x:v>
      </x:c>
      <x:c r="AA19" s="43"/>
      <x:c r="AB19" s="43"/>
      <x:c r="AC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 t="n">
        <x:f>COUNTIF('03_ASSET_FACTORY'!$B$2:$B$300,A20)</x:f>
        <x:v>0</x:v>
      </x:c>
      <x:c r="X20" s="28" t="n">
        <x:f>COUNTIFS('03_ASSET_FACTORY'!$B$2:$B$300,A20,'03_ASSET_FACTORY'!$O$2:$O$300,"Publicado")</x:f>
        <x:v>0</x:v>
      </x:c>
      <x:c r="Y20" s="28" t="n">
        <x:f>SUMIF('06_METRICS'!$A$2:$A$200,A20,'06_METRICS'!$F$2:$F$200)</x:f>
        <x:v>0</x:v>
      </x:c>
      <x:c r="Z20" s="42" t="n">
        <x:f>IFERROR(SUMIF('06_METRICS'!$A$2:$A$200,A20,'06_METRICS'!$K$2:$K$200)/SUMIF('06_METRICS'!$A$2:$A$200,A20,'06_METRICS'!$C$2:$C$200),0)</x:f>
        <x:v>0</x:v>
      </x:c>
      <x:c r="AA20" s="43"/>
      <x:c r="AB20" s="43"/>
      <x:c r="AC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 t="n">
        <x:f>COUNTIF('03_ASSET_FACTORY'!$B$2:$B$300,A21)</x:f>
        <x:v>0</x:v>
      </x:c>
      <x:c r="X21" s="28" t="n">
        <x:f>COUNTIFS('03_ASSET_FACTORY'!$B$2:$B$300,A21,'03_ASSET_FACTORY'!$O$2:$O$300,"Publicado")</x:f>
        <x:v>0</x:v>
      </x:c>
      <x:c r="Y21" s="28" t="n">
        <x:f>SUMIF('06_METRICS'!$A$2:$A$200,A21,'06_METRICS'!$F$2:$F$200)</x:f>
        <x:v>0</x:v>
      </x:c>
      <x:c r="Z21" s="42" t="n">
        <x:f>IFERROR(SUMIF('06_METRICS'!$A$2:$A$200,A21,'06_METRICS'!$K$2:$K$200)/SUMIF('06_METRICS'!$A$2:$A$200,A21,'06_METRICS'!$C$2:$C$200),0)</x:f>
        <x:v>0</x:v>
      </x:c>
      <x:c r="AA21" s="43"/>
      <x:c r="AB21" s="43"/>
      <x:c r="AC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 t="n">
        <x:f>COUNTIF('03_ASSET_FACTORY'!$B$2:$B$300,A22)</x:f>
        <x:v>0</x:v>
      </x:c>
      <x:c r="X22" s="28" t="n">
        <x:f>COUNTIFS('03_ASSET_FACTORY'!$B$2:$B$300,A22,'03_ASSET_FACTORY'!$O$2:$O$300,"Publicado")</x:f>
        <x:v>0</x:v>
      </x:c>
      <x:c r="Y22" s="28" t="n">
        <x:f>SUMIF('06_METRICS'!$A$2:$A$200,A22,'06_METRICS'!$F$2:$F$200)</x:f>
        <x:v>0</x:v>
      </x:c>
      <x:c r="Z22" s="42" t="n">
        <x:f>IFERROR(SUMIF('06_METRICS'!$A$2:$A$200,A22,'06_METRICS'!$K$2:$K$200)/SUMIF('06_METRICS'!$A$2:$A$200,A22,'06_METRICS'!$C$2:$C$200),0)</x:f>
        <x:v>0</x:v>
      </x:c>
      <x:c r="AA22" s="43"/>
      <x:c r="AB22" s="43"/>
      <x:c r="AC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 t="n">
        <x:f>COUNTIF('03_ASSET_FACTORY'!$B$2:$B$300,A23)</x:f>
        <x:v>0</x:v>
      </x:c>
      <x:c r="X23" s="28" t="n">
        <x:f>COUNTIFS('03_ASSET_FACTORY'!$B$2:$B$300,A23,'03_ASSET_FACTORY'!$O$2:$O$300,"Publicado")</x:f>
        <x:v>0</x:v>
      </x:c>
      <x:c r="Y23" s="28" t="n">
        <x:f>SUMIF('06_METRICS'!$A$2:$A$200,A23,'06_METRICS'!$F$2:$F$200)</x:f>
        <x:v>0</x:v>
      </x:c>
      <x:c r="Z23" s="42" t="n">
        <x:f>IFERROR(SUMIF('06_METRICS'!$A$2:$A$200,A23,'06_METRICS'!$K$2:$K$200)/SUMIF('06_METRICS'!$A$2:$A$200,A23,'06_METRICS'!$C$2:$C$200),0)</x:f>
        <x:v>0</x:v>
      </x:c>
      <x:c r="AA23" s="43"/>
      <x:c r="AB23" s="43"/>
      <x:c r="AC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 t="n">
        <x:f>COUNTIF('03_ASSET_FACTORY'!$B$2:$B$300,A24)</x:f>
        <x:v>0</x:v>
      </x:c>
      <x:c r="X24" s="28" t="n">
        <x:f>COUNTIFS('03_ASSET_FACTORY'!$B$2:$B$300,A24,'03_ASSET_FACTORY'!$O$2:$O$300,"Publicado")</x:f>
        <x:v>0</x:v>
      </x:c>
      <x:c r="Y24" s="28" t="n">
        <x:f>SUMIF('06_METRICS'!$A$2:$A$200,A24,'06_METRICS'!$F$2:$F$200)</x:f>
        <x:v>0</x:v>
      </x:c>
      <x:c r="Z24" s="42" t="n">
        <x:f>IFERROR(SUMIF('06_METRICS'!$A$2:$A$200,A24,'06_METRICS'!$K$2:$K$200)/SUMIF('06_METRICS'!$A$2:$A$200,A24,'06_METRICS'!$C$2:$C$200),0)</x:f>
        <x:v>0</x:v>
      </x:c>
      <x:c r="AA24" s="43"/>
      <x:c r="AB24" s="43"/>
      <x:c r="AC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 t="n">
        <x:f>COUNTIF('03_ASSET_FACTORY'!$B$2:$B$300,A25)</x:f>
        <x:v>0</x:v>
      </x:c>
      <x:c r="X25" s="28" t="n">
        <x:f>COUNTIFS('03_ASSET_FACTORY'!$B$2:$B$300,A25,'03_ASSET_FACTORY'!$O$2:$O$300,"Publicado")</x:f>
        <x:v>0</x:v>
      </x:c>
      <x:c r="Y25" s="28" t="n">
        <x:f>SUMIF('06_METRICS'!$A$2:$A$200,A25,'06_METRICS'!$F$2:$F$200)</x:f>
        <x:v>0</x:v>
      </x:c>
      <x:c r="Z25" s="42" t="n">
        <x:f>IFERROR(SUMIF('06_METRICS'!$A$2:$A$200,A25,'06_METRICS'!$K$2:$K$200)/SUMIF('06_METRICS'!$A$2:$A$200,A25,'06_METRICS'!$C$2:$C$200),0)</x:f>
        <x:v>0</x:v>
      </x:c>
      <x:c r="AA25" s="43"/>
      <x:c r="AB25" s="43"/>
      <x:c r="AC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 t="n">
        <x:f>COUNTIF('03_ASSET_FACTORY'!$B$2:$B$300,A26)</x:f>
        <x:v>0</x:v>
      </x:c>
      <x:c r="X26" s="28" t="n">
        <x:f>COUNTIFS('03_ASSET_FACTORY'!$B$2:$B$300,A26,'03_ASSET_FACTORY'!$O$2:$O$300,"Publicado")</x:f>
        <x:v>0</x:v>
      </x:c>
      <x:c r="Y26" s="28" t="n">
        <x:f>SUMIF('06_METRICS'!$A$2:$A$200,A26,'06_METRICS'!$F$2:$F$200)</x:f>
        <x:v>0</x:v>
      </x:c>
      <x:c r="Z26" s="42" t="n">
        <x:f>IFERROR(SUMIF('06_METRICS'!$A$2:$A$200,A26,'06_METRICS'!$K$2:$K$200)/SUMIF('06_METRICS'!$A$2:$A$200,A26,'06_METRICS'!$C$2:$C$200),0)</x:f>
        <x:v>0</x:v>
      </x:c>
      <x:c r="AA26" s="43"/>
      <x:c r="AB26" s="43"/>
      <x:c r="AC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 t="n">
        <x:f>COUNTIF('03_ASSET_FACTORY'!$B$2:$B$300,A27)</x:f>
        <x:v>0</x:v>
      </x:c>
      <x:c r="X27" s="28" t="n">
        <x:f>COUNTIFS('03_ASSET_FACTORY'!$B$2:$B$300,A27,'03_ASSET_FACTORY'!$O$2:$O$300,"Publicado")</x:f>
        <x:v>0</x:v>
      </x:c>
      <x:c r="Y27" s="28" t="n">
        <x:f>SUMIF('06_METRICS'!$A$2:$A$200,A27,'06_METRICS'!$F$2:$F$200)</x:f>
        <x:v>0</x:v>
      </x:c>
      <x:c r="Z27" s="42" t="n">
        <x:f>IFERROR(SUMIF('06_METRICS'!$A$2:$A$200,A27,'06_METRICS'!$K$2:$K$200)/SUMIF('06_METRICS'!$A$2:$A$200,A27,'06_METRICS'!$C$2:$C$200),0)</x:f>
        <x:v>0</x:v>
      </x:c>
      <x:c r="AA27" s="43"/>
      <x:c r="AB27" s="43"/>
      <x:c r="AC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 t="n">
        <x:f>COUNTIF('03_ASSET_FACTORY'!$B$2:$B$300,A28)</x:f>
        <x:v>0</x:v>
      </x:c>
      <x:c r="X28" s="28" t="n">
        <x:f>COUNTIFS('03_ASSET_FACTORY'!$B$2:$B$300,A28,'03_ASSET_FACTORY'!$O$2:$O$300,"Publicado")</x:f>
        <x:v>0</x:v>
      </x:c>
      <x:c r="Y28" s="28" t="n">
        <x:f>SUMIF('06_METRICS'!$A$2:$A$200,A28,'06_METRICS'!$F$2:$F$200)</x:f>
        <x:v>0</x:v>
      </x:c>
      <x:c r="Z28" s="42" t="n">
        <x:f>IFERROR(SUMIF('06_METRICS'!$A$2:$A$200,A28,'06_METRICS'!$K$2:$K$200)/SUMIF('06_METRICS'!$A$2:$A$200,A28,'06_METRICS'!$C$2:$C$200),0)</x:f>
        <x:v>0</x:v>
      </x:c>
      <x:c r="AA28" s="43"/>
      <x:c r="AB28" s="43"/>
      <x:c r="AC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 t="n">
        <x:f>COUNTIF('03_ASSET_FACTORY'!$B$2:$B$300,A29)</x:f>
        <x:v>0</x:v>
      </x:c>
      <x:c r="X29" s="28" t="n">
        <x:f>COUNTIFS('03_ASSET_FACTORY'!$B$2:$B$300,A29,'03_ASSET_FACTORY'!$O$2:$O$300,"Publicado")</x:f>
        <x:v>0</x:v>
      </x:c>
      <x:c r="Y29" s="28" t="n">
        <x:f>SUMIF('06_METRICS'!$A$2:$A$200,A29,'06_METRICS'!$F$2:$F$200)</x:f>
        <x:v>0</x:v>
      </x:c>
      <x:c r="Z29" s="42" t="n">
        <x:f>IFERROR(SUMIF('06_METRICS'!$A$2:$A$200,A29,'06_METRICS'!$K$2:$K$200)/SUMIF('06_METRICS'!$A$2:$A$200,A29,'06_METRICS'!$C$2:$C$200),0)</x:f>
        <x:v>0</x:v>
      </x:c>
      <x:c r="AA29" s="43"/>
      <x:c r="AB29" s="43"/>
      <x:c r="AC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 t="n">
        <x:f>COUNTIF('03_ASSET_FACTORY'!$B$2:$B$300,A30)</x:f>
        <x:v>0</x:v>
      </x:c>
      <x:c r="X30" s="28" t="n">
        <x:f>COUNTIFS('03_ASSET_FACTORY'!$B$2:$B$300,A30,'03_ASSET_FACTORY'!$O$2:$O$300,"Publicado")</x:f>
        <x:v>0</x:v>
      </x:c>
      <x:c r="Y30" s="28" t="n">
        <x:f>SUMIF('06_METRICS'!$A$2:$A$200,A30,'06_METRICS'!$F$2:$F$200)</x:f>
        <x:v>0</x:v>
      </x:c>
      <x:c r="Z30" s="42" t="n">
        <x:f>IFERROR(SUMIF('06_METRICS'!$A$2:$A$200,A30,'06_METRICS'!$K$2:$K$200)/SUMIF('06_METRICS'!$A$2:$A$200,A30,'06_METRICS'!$C$2:$C$200),0)</x:f>
        <x:v>0</x:v>
      </x:c>
      <x:c r="AA30" s="43"/>
      <x:c r="AB30" s="43"/>
      <x:c r="AC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 t="n">
        <x:f>COUNTIF('03_ASSET_FACTORY'!$B$2:$B$300,A31)</x:f>
        <x:v>0</x:v>
      </x:c>
      <x:c r="X31" s="28" t="n">
        <x:f>COUNTIFS('03_ASSET_FACTORY'!$B$2:$B$300,A31,'03_ASSET_FACTORY'!$O$2:$O$300,"Publicado")</x:f>
        <x:v>0</x:v>
      </x:c>
      <x:c r="Y31" s="28" t="n">
        <x:f>SUMIF('06_METRICS'!$A$2:$A$200,A31,'06_METRICS'!$F$2:$F$200)</x:f>
        <x:v>0</x:v>
      </x:c>
      <x:c r="Z31" s="42" t="n">
        <x:f>IFERROR(SUMIF('06_METRICS'!$A$2:$A$200,A31,'06_METRICS'!$K$2:$K$200)/SUMIF('06_METRICS'!$A$2:$A$200,A31,'06_METRICS'!$C$2:$C$200),0)</x:f>
        <x:v>0</x:v>
      </x:c>
      <x:c r="AA31" s="43"/>
      <x:c r="AB31" s="43"/>
      <x:c r="AC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 t="n">
        <x:f>COUNTIF('03_ASSET_FACTORY'!$B$2:$B$300,A32)</x:f>
        <x:v>0</x:v>
      </x:c>
      <x:c r="X32" s="28" t="n">
        <x:f>COUNTIFS('03_ASSET_FACTORY'!$B$2:$B$300,A32,'03_ASSET_FACTORY'!$O$2:$O$300,"Publicado")</x:f>
        <x:v>0</x:v>
      </x:c>
      <x:c r="Y32" s="28" t="n">
        <x:f>SUMIF('06_METRICS'!$A$2:$A$200,A32,'06_METRICS'!$F$2:$F$200)</x:f>
        <x:v>0</x:v>
      </x:c>
      <x:c r="Z32" s="42" t="n">
        <x:f>IFERROR(SUMIF('06_METRICS'!$A$2:$A$200,A32,'06_METRICS'!$K$2:$K$200)/SUMIF('06_METRICS'!$A$2:$A$200,A32,'06_METRICS'!$C$2:$C$200),0)</x:f>
        <x:v>0</x:v>
      </x:c>
      <x:c r="AA32" s="43"/>
      <x:c r="AB32" s="43"/>
      <x:c r="AC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 t="n">
        <x:f>COUNTIF('03_ASSET_FACTORY'!$B$2:$B$300,A33)</x:f>
        <x:v>0</x:v>
      </x:c>
      <x:c r="X33" s="28" t="n">
        <x:f>COUNTIFS('03_ASSET_FACTORY'!$B$2:$B$300,A33,'03_ASSET_FACTORY'!$O$2:$O$300,"Publicado")</x:f>
        <x:v>0</x:v>
      </x:c>
      <x:c r="Y33" s="28" t="n">
        <x:f>SUMIF('06_METRICS'!$A$2:$A$200,A33,'06_METRICS'!$F$2:$F$200)</x:f>
        <x:v>0</x:v>
      </x:c>
      <x:c r="Z33" s="42" t="n">
        <x:f>IFERROR(SUMIF('06_METRICS'!$A$2:$A$200,A33,'06_METRICS'!$K$2:$K$200)/SUMIF('06_METRICS'!$A$2:$A$200,A33,'06_METRICS'!$C$2:$C$200),0)</x:f>
        <x:v>0</x:v>
      </x:c>
      <x:c r="AA33" s="43"/>
      <x:c r="AB33" s="43"/>
      <x:c r="AC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 t="n">
        <x:f>COUNTIF('03_ASSET_FACTORY'!$B$2:$B$300,A34)</x:f>
        <x:v>0</x:v>
      </x:c>
      <x:c r="X34" s="28" t="n">
        <x:f>COUNTIFS('03_ASSET_FACTORY'!$B$2:$B$300,A34,'03_ASSET_FACTORY'!$O$2:$O$300,"Publicado")</x:f>
        <x:v>0</x:v>
      </x:c>
      <x:c r="Y34" s="28" t="n">
        <x:f>SUMIF('06_METRICS'!$A$2:$A$200,A34,'06_METRICS'!$F$2:$F$200)</x:f>
        <x:v>0</x:v>
      </x:c>
      <x:c r="Z34" s="42" t="n">
        <x:f>IFERROR(SUMIF('06_METRICS'!$A$2:$A$200,A34,'06_METRICS'!$K$2:$K$200)/SUMIF('06_METRICS'!$A$2:$A$200,A34,'06_METRICS'!$C$2:$C$200),0)</x:f>
        <x:v>0</x:v>
      </x:c>
      <x:c r="AA34" s="43"/>
      <x:c r="AB34" s="43"/>
      <x:c r="AC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 t="n">
        <x:f>COUNTIF('03_ASSET_FACTORY'!$B$2:$B$300,A35)</x:f>
        <x:v>0</x:v>
      </x:c>
      <x:c r="X35" s="28" t="n">
        <x:f>COUNTIFS('03_ASSET_FACTORY'!$B$2:$B$300,A35,'03_ASSET_FACTORY'!$O$2:$O$300,"Publicado")</x:f>
        <x:v>0</x:v>
      </x:c>
      <x:c r="Y35" s="28" t="n">
        <x:f>SUMIF('06_METRICS'!$A$2:$A$200,A35,'06_METRICS'!$F$2:$F$200)</x:f>
        <x:v>0</x:v>
      </x:c>
      <x:c r="Z35" s="42" t="n">
        <x:f>IFERROR(SUMIF('06_METRICS'!$A$2:$A$200,A35,'06_METRICS'!$K$2:$K$200)/SUMIF('06_METRICS'!$A$2:$A$200,A35,'06_METRICS'!$C$2:$C$200),0)</x:f>
        <x:v>0</x:v>
      </x:c>
      <x:c r="AA35" s="43"/>
      <x:c r="AB35" s="43"/>
      <x:c r="AC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 t="n">
        <x:f>COUNTIF('03_ASSET_FACTORY'!$B$2:$B$300,A36)</x:f>
        <x:v>0</x:v>
      </x:c>
      <x:c r="X36" s="28" t="n">
        <x:f>COUNTIFS('03_ASSET_FACTORY'!$B$2:$B$300,A36,'03_ASSET_FACTORY'!$O$2:$O$300,"Publicado")</x:f>
        <x:v>0</x:v>
      </x:c>
      <x:c r="Y36" s="28" t="n">
        <x:f>SUMIF('06_METRICS'!$A$2:$A$200,A36,'06_METRICS'!$F$2:$F$200)</x:f>
        <x:v>0</x:v>
      </x:c>
      <x:c r="Z36" s="42" t="n">
        <x:f>IFERROR(SUMIF('06_METRICS'!$A$2:$A$200,A36,'06_METRICS'!$K$2:$K$200)/SUMIF('06_METRICS'!$A$2:$A$200,A36,'06_METRICS'!$C$2:$C$200),0)</x:f>
        <x:v>0</x:v>
      </x:c>
      <x:c r="AA36" s="43"/>
      <x:c r="AB36" s="43"/>
      <x:c r="AC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 t="n">
        <x:f>COUNTIF('03_ASSET_FACTORY'!$B$2:$B$300,A37)</x:f>
        <x:v>0</x:v>
      </x:c>
      <x:c r="X37" s="28" t="n">
        <x:f>COUNTIFS('03_ASSET_FACTORY'!$B$2:$B$300,A37,'03_ASSET_FACTORY'!$O$2:$O$300,"Publicado")</x:f>
        <x:v>0</x:v>
      </x:c>
      <x:c r="Y37" s="28" t="n">
        <x:f>SUMIF('06_METRICS'!$A$2:$A$200,A37,'06_METRICS'!$F$2:$F$200)</x:f>
        <x:v>0</x:v>
      </x:c>
      <x:c r="Z37" s="42" t="n">
        <x:f>IFERROR(SUMIF('06_METRICS'!$A$2:$A$200,A37,'06_METRICS'!$K$2:$K$200)/SUMIF('06_METRICS'!$A$2:$A$200,A37,'06_METRICS'!$C$2:$C$200),0)</x:f>
        <x:v>0</x:v>
      </x:c>
      <x:c r="AA37" s="43"/>
      <x:c r="AB37" s="43"/>
      <x:c r="AC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 t="n">
        <x:f>COUNTIF('03_ASSET_FACTORY'!$B$2:$B$300,A38)</x:f>
        <x:v>0</x:v>
      </x:c>
      <x:c r="X38" s="28" t="n">
        <x:f>COUNTIFS('03_ASSET_FACTORY'!$B$2:$B$300,A38,'03_ASSET_FACTORY'!$O$2:$O$300,"Publicado")</x:f>
        <x:v>0</x:v>
      </x:c>
      <x:c r="Y38" s="28" t="n">
        <x:f>SUMIF('06_METRICS'!$A$2:$A$200,A38,'06_METRICS'!$F$2:$F$200)</x:f>
        <x:v>0</x:v>
      </x:c>
      <x:c r="Z38" s="42" t="n">
        <x:f>IFERROR(SUMIF('06_METRICS'!$A$2:$A$200,A38,'06_METRICS'!$K$2:$K$200)/SUMIF('06_METRICS'!$A$2:$A$200,A38,'06_METRICS'!$C$2:$C$200),0)</x:f>
        <x:v>0</x:v>
      </x:c>
      <x:c r="AA38" s="43"/>
      <x:c r="AB38" s="43"/>
      <x:c r="AC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 t="n">
        <x:f>COUNTIF('03_ASSET_FACTORY'!$B$2:$B$300,A39)</x:f>
        <x:v>0</x:v>
      </x:c>
      <x:c r="X39" s="28" t="n">
        <x:f>COUNTIFS('03_ASSET_FACTORY'!$B$2:$B$300,A39,'03_ASSET_FACTORY'!$O$2:$O$300,"Publicado")</x:f>
        <x:v>0</x:v>
      </x:c>
      <x:c r="Y39" s="28" t="n">
        <x:f>SUMIF('06_METRICS'!$A$2:$A$200,A39,'06_METRICS'!$F$2:$F$200)</x:f>
        <x:v>0</x:v>
      </x:c>
      <x:c r="Z39" s="42" t="n">
        <x:f>IFERROR(SUMIF('06_METRICS'!$A$2:$A$200,A39,'06_METRICS'!$K$2:$K$200)/SUMIF('06_METRICS'!$A$2:$A$200,A39,'06_METRICS'!$C$2:$C$200),0)</x:f>
        <x:v>0</x:v>
      </x:c>
      <x:c r="AA39" s="43"/>
      <x:c r="AB39" s="43"/>
      <x:c r="AC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 t="n">
        <x:f>COUNTIF('03_ASSET_FACTORY'!$B$2:$B$300,A40)</x:f>
        <x:v>0</x:v>
      </x:c>
      <x:c r="X40" s="28" t="n">
        <x:f>COUNTIFS('03_ASSET_FACTORY'!$B$2:$B$300,A40,'03_ASSET_FACTORY'!$O$2:$O$300,"Publicado")</x:f>
        <x:v>0</x:v>
      </x:c>
      <x:c r="Y40" s="28" t="n">
        <x:f>SUMIF('06_METRICS'!$A$2:$A$200,A40,'06_METRICS'!$F$2:$F$200)</x:f>
        <x:v>0</x:v>
      </x:c>
      <x:c r="Z40" s="42" t="n">
        <x:f>IFERROR(SUMIF('06_METRICS'!$A$2:$A$200,A40,'06_METRICS'!$K$2:$K$200)/SUMIF('06_METRICS'!$A$2:$A$200,A40,'06_METRICS'!$C$2:$C$200),0)</x:f>
        <x:v>0</x:v>
      </x:c>
      <x:c r="AA40" s="43"/>
      <x:c r="AB40" s="43"/>
      <x:c r="AC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 t="n">
        <x:f>COUNTIF('03_ASSET_FACTORY'!$B$2:$B$300,A41)</x:f>
        <x:v>0</x:v>
      </x:c>
      <x:c r="X41" s="28" t="n">
        <x:f>COUNTIFS('03_ASSET_FACTORY'!$B$2:$B$300,A41,'03_ASSET_FACTORY'!$O$2:$O$300,"Publicado")</x:f>
        <x:v>0</x:v>
      </x:c>
      <x:c r="Y41" s="28" t="n">
        <x:f>SUMIF('06_METRICS'!$A$2:$A$200,A41,'06_METRICS'!$F$2:$F$200)</x:f>
        <x:v>0</x:v>
      </x:c>
      <x:c r="Z41" s="42" t="n">
        <x:f>IFERROR(SUMIF('06_METRICS'!$A$2:$A$200,A41,'06_METRICS'!$K$2:$K$200)/SUMIF('06_METRICS'!$A$2:$A$200,A41,'06_METRICS'!$C$2:$C$200),0)</x:f>
        <x:v>0</x:v>
      </x:c>
      <x:c r="AA41" s="43"/>
      <x:c r="AB41" s="43"/>
      <x:c r="AC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 t="n">
        <x:f>COUNTIF('03_ASSET_FACTORY'!$B$2:$B$300,A42)</x:f>
        <x:v>0</x:v>
      </x:c>
      <x:c r="X42" s="28" t="n">
        <x:f>COUNTIFS('03_ASSET_FACTORY'!$B$2:$B$300,A42,'03_ASSET_FACTORY'!$O$2:$O$300,"Publicado")</x:f>
        <x:v>0</x:v>
      </x:c>
      <x:c r="Y42" s="28" t="n">
        <x:f>SUMIF('06_METRICS'!$A$2:$A$200,A42,'06_METRICS'!$F$2:$F$200)</x:f>
        <x:v>0</x:v>
      </x:c>
      <x:c r="Z42" s="42" t="n">
        <x:f>IFERROR(SUMIF('06_METRICS'!$A$2:$A$200,A42,'06_METRICS'!$K$2:$K$200)/SUMIF('06_METRICS'!$A$2:$A$200,A42,'06_METRICS'!$C$2:$C$200),0)</x:f>
        <x:v>0</x:v>
      </x:c>
      <x:c r="AA42" s="43"/>
      <x:c r="AB42" s="43"/>
      <x:c r="AC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 t="n">
        <x:f>COUNTIF('03_ASSET_FACTORY'!$B$2:$B$300,A43)</x:f>
        <x:v>0</x:v>
      </x:c>
      <x:c r="X43" s="28" t="n">
        <x:f>COUNTIFS('03_ASSET_FACTORY'!$B$2:$B$300,A43,'03_ASSET_FACTORY'!$O$2:$O$300,"Publicado")</x:f>
        <x:v>0</x:v>
      </x:c>
      <x:c r="Y43" s="28" t="n">
        <x:f>SUMIF('06_METRICS'!$A$2:$A$200,A43,'06_METRICS'!$F$2:$F$200)</x:f>
        <x:v>0</x:v>
      </x:c>
      <x:c r="Z43" s="42" t="n">
        <x:f>IFERROR(SUMIF('06_METRICS'!$A$2:$A$200,A43,'06_METRICS'!$K$2:$K$200)/SUMIF('06_METRICS'!$A$2:$A$200,A43,'06_METRICS'!$C$2:$C$200),0)</x:f>
        <x:v>0</x:v>
      </x:c>
      <x:c r="AA43" s="43"/>
      <x:c r="AB43" s="43"/>
      <x:c r="AC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 t="n">
        <x:f>COUNTIF('03_ASSET_FACTORY'!$B$2:$B$300,A44)</x:f>
        <x:v>0</x:v>
      </x:c>
      <x:c r="X44" s="28" t="n">
        <x:f>COUNTIFS('03_ASSET_FACTORY'!$B$2:$B$300,A44,'03_ASSET_FACTORY'!$O$2:$O$300,"Publicado")</x:f>
        <x:v>0</x:v>
      </x:c>
      <x:c r="Y44" s="28" t="n">
        <x:f>SUMIF('06_METRICS'!$A$2:$A$200,A44,'06_METRICS'!$F$2:$F$200)</x:f>
        <x:v>0</x:v>
      </x:c>
      <x:c r="Z44" s="42" t="n">
        <x:f>IFERROR(SUMIF('06_METRICS'!$A$2:$A$200,A44,'06_METRICS'!$K$2:$K$200)/SUMIF('06_METRICS'!$A$2:$A$200,A44,'06_METRICS'!$C$2:$C$200),0)</x:f>
        <x:v>0</x:v>
      </x:c>
      <x:c r="AA44" s="43"/>
      <x:c r="AB44" s="43"/>
      <x:c r="AC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 t="n">
        <x:f>COUNTIF('03_ASSET_FACTORY'!$B$2:$B$300,A45)</x:f>
        <x:v>0</x:v>
      </x:c>
      <x:c r="X45" s="28" t="n">
        <x:f>COUNTIFS('03_ASSET_FACTORY'!$B$2:$B$300,A45,'03_ASSET_FACTORY'!$O$2:$O$300,"Publicado")</x:f>
        <x:v>0</x:v>
      </x:c>
      <x:c r="Y45" s="28" t="n">
        <x:f>SUMIF('06_METRICS'!$A$2:$A$200,A45,'06_METRICS'!$F$2:$F$200)</x:f>
        <x:v>0</x:v>
      </x:c>
      <x:c r="Z45" s="42" t="n">
        <x:f>IFERROR(SUMIF('06_METRICS'!$A$2:$A$200,A45,'06_METRICS'!$K$2:$K$200)/SUMIF('06_METRICS'!$A$2:$A$200,A45,'06_METRICS'!$C$2:$C$200),0)</x:f>
        <x:v>0</x:v>
      </x:c>
      <x:c r="AA45" s="43"/>
      <x:c r="AB45" s="43"/>
      <x:c r="AC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 t="n">
        <x:f>COUNTIF('03_ASSET_FACTORY'!$B$2:$B$300,A46)</x:f>
        <x:v>0</x:v>
      </x:c>
      <x:c r="X46" s="28" t="n">
        <x:f>COUNTIFS('03_ASSET_FACTORY'!$B$2:$B$300,A46,'03_ASSET_FACTORY'!$O$2:$O$300,"Publicado")</x:f>
        <x:v>0</x:v>
      </x:c>
      <x:c r="Y46" s="28" t="n">
        <x:f>SUMIF('06_METRICS'!$A$2:$A$200,A46,'06_METRICS'!$F$2:$F$200)</x:f>
        <x:v>0</x:v>
      </x:c>
      <x:c r="Z46" s="42" t="n">
        <x:f>IFERROR(SUMIF('06_METRICS'!$A$2:$A$200,A46,'06_METRICS'!$K$2:$K$200)/SUMIF('06_METRICS'!$A$2:$A$200,A46,'06_METRICS'!$C$2:$C$200),0)</x:f>
        <x:v>0</x:v>
      </x:c>
      <x:c r="AA46" s="43"/>
      <x:c r="AB46" s="43"/>
      <x:c r="AC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 t="n">
        <x:f>COUNTIF('03_ASSET_FACTORY'!$B$2:$B$300,A47)</x:f>
        <x:v>0</x:v>
      </x:c>
      <x:c r="X47" s="28" t="n">
        <x:f>COUNTIFS('03_ASSET_FACTORY'!$B$2:$B$300,A47,'03_ASSET_FACTORY'!$O$2:$O$300,"Publicado")</x:f>
        <x:v>0</x:v>
      </x:c>
      <x:c r="Y47" s="28" t="n">
        <x:f>SUMIF('06_METRICS'!$A$2:$A$200,A47,'06_METRICS'!$F$2:$F$200)</x:f>
        <x:v>0</x:v>
      </x:c>
      <x:c r="Z47" s="42" t="n">
        <x:f>IFERROR(SUMIF('06_METRICS'!$A$2:$A$200,A47,'06_METRICS'!$K$2:$K$200)/SUMIF('06_METRICS'!$A$2:$A$200,A47,'06_METRICS'!$C$2:$C$200),0)</x:f>
        <x:v>0</x:v>
      </x:c>
      <x:c r="AA47" s="43"/>
      <x:c r="AB47" s="43"/>
      <x:c r="AC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 t="n">
        <x:f>COUNTIF('03_ASSET_FACTORY'!$B$2:$B$300,A48)</x:f>
        <x:v>0</x:v>
      </x:c>
      <x:c r="X48" s="28" t="n">
        <x:f>COUNTIFS('03_ASSET_FACTORY'!$B$2:$B$300,A48,'03_ASSET_FACTORY'!$O$2:$O$300,"Publicado")</x:f>
        <x:v>0</x:v>
      </x:c>
      <x:c r="Y48" s="28" t="n">
        <x:f>SUMIF('06_METRICS'!$A$2:$A$200,A48,'06_METRICS'!$F$2:$F$200)</x:f>
        <x:v>0</x:v>
      </x:c>
      <x:c r="Z48" s="42" t="n">
        <x:f>IFERROR(SUMIF('06_METRICS'!$A$2:$A$200,A48,'06_METRICS'!$K$2:$K$200)/SUMIF('06_METRICS'!$A$2:$A$200,A48,'06_METRICS'!$C$2:$C$200),0)</x:f>
        <x:v>0</x:v>
      </x:c>
      <x:c r="AA48" s="43"/>
      <x:c r="AB48" s="43"/>
      <x:c r="AC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 t="n">
        <x:f>COUNTIF('03_ASSET_FACTORY'!$B$2:$B$300,A49)</x:f>
        <x:v>0</x:v>
      </x:c>
      <x:c r="X49" s="28" t="n">
        <x:f>COUNTIFS('03_ASSET_FACTORY'!$B$2:$B$300,A49,'03_ASSET_FACTORY'!$O$2:$O$300,"Publicado")</x:f>
        <x:v>0</x:v>
      </x:c>
      <x:c r="Y49" s="28" t="n">
        <x:f>SUMIF('06_METRICS'!$A$2:$A$200,A49,'06_METRICS'!$F$2:$F$200)</x:f>
        <x:v>0</x:v>
      </x:c>
      <x:c r="Z49" s="42" t="n">
        <x:f>IFERROR(SUMIF('06_METRICS'!$A$2:$A$200,A49,'06_METRICS'!$K$2:$K$200)/SUMIF('06_METRICS'!$A$2:$A$200,A49,'06_METRICS'!$C$2:$C$200),0)</x:f>
        <x:v>0</x:v>
      </x:c>
      <x:c r="AA49" s="43"/>
      <x:c r="AB49" s="43"/>
      <x:c r="AC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 t="n">
        <x:f>COUNTIF('03_ASSET_FACTORY'!$B$2:$B$300,A50)</x:f>
        <x:v>0</x:v>
      </x:c>
      <x:c r="X50" s="28" t="n">
        <x:f>COUNTIFS('03_ASSET_FACTORY'!$B$2:$B$300,A50,'03_ASSET_FACTORY'!$O$2:$O$300,"Publicado")</x:f>
        <x:v>0</x:v>
      </x:c>
      <x:c r="Y50" s="28" t="n">
        <x:f>SUMIF('06_METRICS'!$A$2:$A$200,A50,'06_METRICS'!$F$2:$F$200)</x:f>
        <x:v>0</x:v>
      </x:c>
      <x:c r="Z50" s="42" t="n">
        <x:f>IFERROR(SUMIF('06_METRICS'!$A$2:$A$200,A50,'06_METRICS'!$K$2:$K$200)/SUMIF('06_METRICS'!$A$2:$A$200,A50,'06_METRICS'!$C$2:$C$200),0)</x:f>
        <x:v>0</x:v>
      </x:c>
      <x:c r="AA50" s="43"/>
      <x:c r="AB50" s="43"/>
      <x:c r="AC50" s="28"/>
    </x:row>
  </x:sheetData>
  <x:dataValidations count="4">
    <x:dataValidation type="list" sqref="T2:T50">
      <x:formula1>"Baixa,Média,Alta,Crítica"</x:formula1>
    </x:dataValidation>
    <x:dataValidation type="list" sqref="U2:U50">
      <x:formula1>"Ideia,Pesquisa,Validado,Solução,Assets,Revisão,Agendado,Publicado,Medido,Reciclar"</x:formula1>
    </x:dataValidation>
    <x:dataValidation type="list" sqref="R2:R50">
      <x:formula1>"Cognição e Neurodivergência,Comportamento e Autogerenciamento,Riscos Cognitivos,Processos e Projetos Neuroadaptados,Controles e Ergonomia,Tecnologia e Automação,Aplicação e Evidência"</x:formula1>
    </x:dataValidation>
    <x:dataValidation type="list" sqref="S2:S50">
      <x:formula1>"Inconsciente do problema,Consciente do problema,Consciente do mecanismo,Consciente do risco,Consciente da solução,Consciente do método,Consciente do produto,Pronto para 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a654a5816a4f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6" hidden="0" customWidth="1"/>
    <x:col min="4" max="4" width="18" hidden="0" customWidth="1"/>
    <x:col min="5" max="5" width="32" hidden="0" customWidth="1"/>
    <x:col min="6" max="6" width="52" hidden="0" customWidth="1"/>
    <x:col min="7" max="7" width="36" hidden="0" customWidth="1"/>
    <x:col min="8" max="8" width="22" hidden="0" customWidth="1"/>
    <x:col min="9" max="9" width="24" hidden="0" customWidth="1"/>
    <x:col min="10" max="10" width="28" hidden="0" customWidth="1"/>
    <x:col min="11" max="11" width="24" hidden="0" customWidth="1"/>
    <x:col min="12" max="12" width="24" hidden="0" customWidth="1"/>
    <x:col min="13" max="13" width="32" hidden="0" customWidth="1"/>
    <x:col min="14" max="14" width="14" hidden="0" customWidth="1"/>
    <x:col min="15" max="15" width="38" hidden="0" customWidth="1"/>
    <x:col min="16" max="16" width="30" hidden="0" customWidth="1"/>
    <x:col min="17" max="17" width="36" hidden="0" customWidth="1"/>
  </x:cols>
  <x:sheetData>
    <x:row r="1">
      <x:c r="A1" s="16" t="str">
        <x:v>solution_id</x:v>
      </x:c>
      <x:c r="B1" s="33" t="str">
        <x:v>solution_name</x:v>
      </x:c>
      <x:c r="C1" s="33" t="str">
        <x:v>family</x:v>
      </x:c>
      <x:c r="D1" s="33" t="str">
        <x:v>problem_id</x:v>
      </x:c>
      <x:c r="E1" s="33" t="str">
        <x:v>input</x:v>
      </x:c>
      <x:c r="F1" s="33" t="str">
        <x:v>transformation</x:v>
      </x:c>
      <x:c r="G1" s="33" t="str">
        <x:v>output</x:v>
      </x:c>
      <x:c r="H1" s="33" t="str">
        <x:v>method_ids</x:v>
      </x:c>
      <x:c r="I1" s="33" t="str">
        <x:v>tactic_ids</x:v>
      </x:c>
      <x:c r="J1" s="33" t="str">
        <x:v>technique_ids</x:v>
      </x:c>
      <x:c r="K1" s="33" t="str">
        <x:v>control_ids</x:v>
      </x:c>
      <x:c r="L1" s="33" t="str">
        <x:v>tool_ids</x:v>
      </x:c>
      <x:c r="M1" s="33" t="str">
        <x:v>evidence_ids</x:v>
      </x:c>
      <x:c r="N1" s="33" t="str">
        <x:v>status</x:v>
      </x:c>
      <x:c r="O1" s="33" t="str">
        <x:v>offer_route</x:v>
      </x:c>
      <x:c r="P1" s="33" t="str">
        <x:v>product_service_link</x:v>
      </x:c>
      <x:c r="Q1" s="17" t="str">
        <x:v>notes</x:v>
      </x:c>
    </x:row>
    <x:row r="2">
      <x:c r="A2" s="28" t="str">
        <x:v>RC-SOLUTION-001</x:v>
      </x:c>
      <x:c r="B2" s="28" t="str">
        <x:v>Conversor de Relatório</x:v>
      </x:c>
      <x:c r="C2" s="28" t="str">
        <x:v>Conversor</x:v>
      </x:c>
      <x:c r="D2" s="28" t="str">
        <x:v>RC-PROBLEM-001</x:v>
      </x:c>
      <x:c r="E2" s="28" t="str">
        <x:v>Relatório/PDF/DOCX/texto longo</x:v>
      </x:c>
      <x:c r="F2" s="28" t="str">
        <x:v>Identificar estrutura, reduzir ruído, hierarquizar informação, destacar decisões, próximos passos e evidências</x:v>
      </x:c>
      <x:c r="G2" s="28" t="str">
        <x:v>Leitura cognitiva estruturada + resumo acionável</x:v>
      </x:c>
      <x:c r="H2" s="28" t="str">
        <x:v>BPM-003; RISK-006</x:v>
      </x:c>
      <x:c r="I2" s="28" t="str">
        <x:v>redução de carga informacional</x:v>
      </x:c>
      <x:c r="J2" s="28" t="str">
        <x:v>TECH-BREAK-001; TECH-SHORTPATH-001</x:v>
      </x:c>
      <x:c r="K2" s="28" t="str">
        <x:v>preventivo; compensatório</x:v>
      </x:c>
      <x:c r="L2" s="28" t="str">
        <x:v>prompt; HTML; IA; template</x:v>
      </x:c>
      <x:c r="M2" s="28" t="str">
        <x:v>SCI-WM-001; WEB-W3C-001; WEB-W3C-003</x:v>
      </x:c>
      <x:c r="N2" s="28" t="str">
        <x:v>Ativo</x:v>
      </x:c>
      <x:c r="O2" s="28" t="str">
        <x:v>Ferramenta gratuita → artigo → método → produto/serviço</x:v>
      </x:c>
      <x:c r="P2" s="28" t="str"/>
      <x:c r="Q2" s="28" t="str">
        <x:v>Família Custo Cognitivo · Conversores</x:v>
      </x:c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</x:row>
  </x:sheetData>
  <x:dataValidations count="2">
    <x:dataValidation type="list" sqref="C2:C100">
      <x:formula1>"Conversor,Scanner,Mapa,Checklist,Prisma,Protocolo"</x:formula1>
    </x:dataValidation>
    <x:dataValidation type="list" sqref="N2:N100">
      <x:formula1>"Ideia,Pesquisa,Protótipo,Ativo,Pausado,Arquivado"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84953bc72041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6" hidden="0" customWidth="1"/>
    <x:col min="5" max="5" width="13" hidden="0" customWidth="1"/>
    <x:col min="6" max="6" width="9" hidden="0" customWidth="1"/>
    <x:col min="7" max="7" width="16" hidden="0" customWidth="1"/>
    <x:col min="8" max="8" width="20" hidden="0" customWidth="1"/>
    <x:col min="9" max="9" width="26" hidden="0" customWidth="1"/>
    <x:col min="10" max="10" width="42" hidden="0" customWidth="1"/>
    <x:col min="11" max="11" width="48" hidden="0" customWidth="1"/>
    <x:col min="12" max="12" width="14" hidden="0" customWidth="1"/>
    <x:col min="13" max="13" width="30" hidden="0" customWidth="1"/>
    <x:col min="14" max="14" width="16" hidden="0" customWidth="1"/>
    <x:col min="15" max="15" width="14" hidden="0" customWidth="1"/>
    <x:col min="16" max="16" width="9" hidden="0" customWidth="1"/>
    <x:col min="17" max="17" width="13" hidden="0" customWidth="1"/>
    <x:col min="18" max="18" width="13" hidden="0" customWidth="1"/>
    <x:col min="19" max="19" width="32" hidden="0" customWidth="1"/>
    <x:col min="20" max="20" width="2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2" hidden="0" customWidth="1"/>
    <x:col min="28" max="28" width="14" hidden="0" customWidth="1"/>
    <x:col min="29" max="29" width="14" hidden="0" customWidth="1"/>
    <x:col min="30" max="30" width="36" hidden="0" customWidth="1"/>
  </x:cols>
  <x:sheetData>
    <x:row r="1">
      <x:c r="A1" s="16" t="str">
        <x:v>asset_id</x:v>
      </x:c>
      <x:c r="B1" s="33" t="str">
        <x:v>problem_id</x:v>
      </x:c>
      <x:c r="C1" s="33" t="str">
        <x:v>solution_id</x:v>
      </x:c>
      <x:c r="D1" s="33" t="str">
        <x:v>asset_format</x:v>
      </x:c>
      <x:c r="E1" s="33" t="str">
        <x:v>format_code</x:v>
      </x:c>
      <x:c r="F1" s="33" t="str">
        <x:v>sequence</x:v>
      </x:c>
      <x:c r="G1" s="33" t="str">
        <x:v>funnel_stage</x:v>
      </x:c>
      <x:c r="H1" s="33" t="str">
        <x:v>channel</x:v>
      </x:c>
      <x:c r="I1" s="33" t="str">
        <x:v>objective</x:v>
      </x:c>
      <x:c r="J1" s="33" t="str">
        <x:v>core_message</x:v>
      </x:c>
      <x:c r="K1" s="33" t="str">
        <x:v>hook</x:v>
      </x:c>
      <x:c r="L1" s="33" t="str">
        <x:v>cta_id</x:v>
      </x:c>
      <x:c r="M1" s="33" t="str">
        <x:v>source_evidence_ids</x:v>
      </x:c>
      <x:c r="N1" s="33" t="str">
        <x:v>production_owner</x:v>
      </x:c>
      <x:c r="O1" s="33" t="str">
        <x:v>status</x:v>
      </x:c>
      <x:c r="P1" s="33" t="str">
        <x:v>version</x:v>
      </x:c>
      <x:c r="Q1" s="33" t="str">
        <x:v>planned_date</x:v>
      </x:c>
      <x:c r="R1" s="33" t="str">
        <x:v>published_date</x:v>
      </x:c>
      <x:c r="S1" s="33" t="str">
        <x:v>url</x:v>
      </x:c>
      <x:c r="T1" s="33" t="str">
        <x:v>primary_kpi</x:v>
      </x:c>
      <x:c r="U1" s="33" t="str">
        <x:v>views</x:v>
      </x:c>
      <x:c r="V1" s="33" t="str">
        <x:v>saves</x:v>
      </x:c>
      <x:c r="W1" s="33" t="str">
        <x:v>shares</x:v>
      </x:c>
      <x:c r="X1" s="33" t="str">
        <x:v>clicks</x:v>
      </x:c>
      <x:c r="Y1" s="33" t="str">
        <x:v>tool_uses</x:v>
      </x:c>
      <x:c r="Z1" s="33" t="str">
        <x:v>leads</x:v>
      </x:c>
      <x:c r="AA1" s="33" t="str">
        <x:v>conversions</x:v>
      </x:c>
      <x:c r="AB1" s="33" t="str">
        <x:v>engagement_rate</x:v>
      </x:c>
      <x:c r="AC1" s="33" t="str">
        <x:v>reuse_status</x:v>
      </x:c>
      <x:c r="AD1" s="17" t="str">
        <x:v>notes</x:v>
      </x:c>
    </x:row>
    <x:row r="2">
      <x:c r="A2" s="28" t="str">
        <x:f>B2&amp;"-"&amp;E2&amp;"-"&amp;TEXT(F2,"00")</x:f>
        <x:v>RC-PROBLEM-001-CAR-01</x:v>
      </x:c>
      <x:c r="B2" s="28" t="str">
        <x:v>RC-PROBLEM-001</x:v>
      </x:c>
      <x:c r="C2" s="28" t="str">
        <x:v>RC-SOLUTION-001</x:v>
      </x:c>
      <x:c r="D2" s="28" t="str">
        <x:v>Carrossel</x:v>
      </x:c>
      <x:c r="E2" s="28" t="str">
        <x:v>CAR</x:v>
      </x:c>
      <x:c r="F2" s="28" t="n">
        <x:v>1</x:v>
      </x:c>
      <x:c r="G2" s="28" t="str">
        <x:v>Descoberta</x:v>
      </x:c>
      <x:c r="H2" s="28" t="str">
        <x:v>Instagram</x:v>
      </x:c>
      <x:c r="I2" s="28" t="str">
        <x:v>Reconhecimento + explicação</x:v>
      </x:c>
      <x:c r="J2" s="28" t="str">
        <x:v>O mesmo problema, princípio e solução são adaptados ao formato sem refazer a pesquisa.</x:v>
      </x:c>
      <x:c r="K2" s="28" t="str">
        <x:v>Por que um relatório de 20 páginas pode gerar mais custo cognitivo do que ajudar?</x:v>
      </x:c>
      <x:c r="L2" s="28" t="str">
        <x:v>RC-CTA-001</x:v>
      </x:c>
      <x:c r="M2" s="28" t="str">
        <x:v>SCI-WM-001; WEB-W3C-001; WEB-W3C-003</x:v>
      </x:c>
      <x:c r="N2" s="28" t="str">
        <x:v>Leonardo</x:v>
      </x:c>
      <x:c r="O2" s="28" t="str">
        <x:v>Planejado</x:v>
      </x:c>
      <x:c r="P2" s="28" t="n">
        <x:v>1</x:v>
      </x:c>
      <x:c r="Q2" s="43"/>
      <x:c r="R2" s="43"/>
      <x:c r="S2" s="28" t="str"/>
      <x:c r="T2" s="28" t="str">
        <x:v>Salvamentos</x:v>
      </x:c>
      <x:c r="U2" s="28" t="n">
        <x:v>0</x:v>
      </x:c>
      <x:c r="V2" s="28" t="n">
        <x:v>0</x:v>
      </x:c>
      <x:c r="W2" s="28" t="n">
        <x:v>0</x:v>
      </x:c>
      <x:c r="X2" s="28" t="n">
        <x:v>0</x:v>
      </x:c>
      <x:c r="Y2" s="28" t="n">
        <x:v>0</x:v>
      </x:c>
      <x:c r="Z2" s="28" t="n">
        <x:v>0</x:v>
      </x:c>
      <x:c r="AA2" s="28" t="n">
        <x:v>0</x:v>
      </x:c>
      <x:c r="AB2" s="42" t="n">
        <x:f>IFERROR((V2+W2+X2)/U2,0)</x:f>
        <x:v>0</x:v>
      </x:c>
      <x:c r="AC2" s="28" t="str">
        <x:v>Novo</x:v>
      </x:c>
      <x:c r="AD2" s="28" t="str">
        <x:v>Derivado automaticamente do problema canônico.</x:v>
      </x:c>
    </x:row>
    <x:row r="3">
      <x:c r="A3" s="28" t="str">
        <x:f>B3&amp;"-"&amp;E3&amp;"-"&amp;TEXT(F3,"00")</x:f>
        <x:v>RC-PROBLEM-001-REEL-02</x:v>
      </x:c>
      <x:c r="B3" s="28" t="str">
        <x:v>RC-PROBLEM-001</x:v>
      </x:c>
      <x:c r="C3" s="28" t="str">
        <x:v>RC-SOLUTION-001</x:v>
      </x:c>
      <x:c r="D3" s="28" t="str">
        <x:v>Reel</x:v>
      </x:c>
      <x:c r="E3" s="28" t="str">
        <x:v>REEL</x:v>
      </x:c>
      <x:c r="F3" s="28" t="n">
        <x:v>2</x:v>
      </x:c>
      <x:c r="G3" s="28" t="str">
        <x:v>Descoberta</x:v>
      </x:c>
      <x:c r="H3" s="28" t="str">
        <x:v>Instagram/Reels</x:v>
      </x:c>
      <x:c r="I3" s="28" t="str">
        <x:v>Alcance + reconhecimento</x:v>
      </x:c>
      <x:c r="J3" s="28" t="str">
        <x:v>O mesmo problema, princípio e solução são adaptados ao formato sem refazer a pesquisa.</x:v>
      </x:c>
      <x:c r="K3" s="28" t="str">
        <x:v>Seu relatório está exigindo memória em vez de ajudar você a decidir.</x:v>
      </x:c>
      <x:c r="L3" s="28" t="str">
        <x:v>RC-CTA-001</x:v>
      </x:c>
      <x:c r="M3" s="28" t="str">
        <x:v>SCI-WM-001; WEB-W3C-001; WEB-W3C-003</x:v>
      </x:c>
      <x:c r="N3" s="28" t="str">
        <x:v>Leonardo</x:v>
      </x:c>
      <x:c r="O3" s="28" t="str">
        <x:v>Planejado</x:v>
      </x:c>
      <x:c r="P3" s="28" t="n">
        <x:v>1</x:v>
      </x:c>
      <x:c r="Q3" s="43"/>
      <x:c r="R3" s="43"/>
      <x:c r="S3" s="28" t="str"/>
      <x:c r="T3" s="28" t="str">
        <x:v>Retenção</x:v>
      </x:c>
      <x:c r="U3" s="28" t="n">
        <x:v>0</x:v>
      </x:c>
      <x:c r="V3" s="28" t="n">
        <x:v>0</x:v>
      </x:c>
      <x:c r="W3" s="28" t="n">
        <x:v>0</x:v>
      </x:c>
      <x:c r="X3" s="28" t="n">
        <x:v>0</x:v>
      </x:c>
      <x:c r="Y3" s="28" t="n">
        <x:v>0</x:v>
      </x:c>
      <x:c r="Z3" s="28" t="n">
        <x:v>0</x:v>
      </x:c>
      <x:c r="AA3" s="28" t="n">
        <x:v>0</x:v>
      </x:c>
      <x:c r="AB3" s="42" t="n">
        <x:f>IFERROR((V3+W3+X3)/U3,0)</x:f>
        <x:v>0</x:v>
      </x:c>
      <x:c r="AC3" s="28" t="str">
        <x:v>Novo</x:v>
      </x:c>
      <x:c r="AD3" s="28" t="str">
        <x:v>Derivado automaticamente do problema canônico.</x:v>
      </x:c>
    </x:row>
    <x:row r="4">
      <x:c r="A4" s="28" t="str">
        <x:f>B4&amp;"-"&amp;E4&amp;"-"&amp;TEXT(F4,"00")</x:f>
        <x:v>RC-PROBLEM-001-STORY-03</x:v>
      </x:c>
      <x:c r="B4" s="28" t="str">
        <x:v>RC-PROBLEM-001</x:v>
      </x:c>
      <x:c r="C4" s="28" t="str">
        <x:v>RC-SOLUTION-001</x:v>
      </x:c>
      <x:c r="D4" s="28" t="str">
        <x:v>Story</x:v>
      </x:c>
      <x:c r="E4" s="28" t="str">
        <x:v>STORY</x:v>
      </x:c>
      <x:c r="F4" s="28" t="n">
        <x:v>3</x:v>
      </x:c>
      <x:c r="G4" s="28" t="str">
        <x:v>Descoberta</x:v>
      </x:c>
      <x:c r="H4" s="28" t="str">
        <x:v>Instagram/Stories</x:v>
      </x:c>
      <x:c r="I4" s="28" t="str">
        <x:v>Interação + diagnóstico</x:v>
      </x:c>
      <x:c r="J4" s="28" t="str">
        <x:v>O mesmo problema, princípio e solução são adaptados ao formato sem refazer a pesquisa.</x:v>
      </x:c>
      <x:c r="K4" s="28" t="str">
        <x:v>Você termina relatórios longos lembrando do que realmente importa?</x:v>
      </x:c>
      <x:c r="L4" s="28" t="str">
        <x:v>RC-CTA-004</x:v>
      </x:c>
      <x:c r="M4" s="28" t="str">
        <x:v>SCI-WM-001; WEB-W3C-001; WEB-W3C-003</x:v>
      </x:c>
      <x:c r="N4" s="28" t="str">
        <x:v>Leonardo</x:v>
      </x:c>
      <x:c r="O4" s="28" t="str">
        <x:v>Planejado</x:v>
      </x:c>
      <x:c r="P4" s="28" t="n">
        <x:v>1</x:v>
      </x:c>
      <x:c r="Q4" s="43"/>
      <x:c r="R4" s="43"/>
      <x:c r="S4" s="28" t="str"/>
      <x:c r="T4" s="28" t="str">
        <x:v>Respostas</x:v>
      </x:c>
      <x:c r="U4" s="28" t="n">
        <x:v>0</x:v>
      </x:c>
      <x:c r="V4" s="28" t="n">
        <x:v>0</x:v>
      </x:c>
      <x:c r="W4" s="28" t="n">
        <x:v>0</x:v>
      </x:c>
      <x:c r="X4" s="28" t="n">
        <x:v>0</x:v>
      </x:c>
      <x:c r="Y4" s="28" t="n">
        <x:v>0</x:v>
      </x:c>
      <x:c r="Z4" s="28" t="n">
        <x:v>0</x:v>
      </x:c>
      <x:c r="AA4" s="28" t="n">
        <x:v>0</x:v>
      </x:c>
      <x:c r="AB4" s="42" t="n">
        <x:f>IFERROR((V4+W4+X4)/U4,0)</x:f>
        <x:v>0</x:v>
      </x:c>
      <x:c r="AC4" s="28" t="str">
        <x:v>Novo</x:v>
      </x:c>
      <x:c r="AD4" s="28" t="str">
        <x:v>Derivado automaticamente do problema canônico.</x:v>
      </x:c>
    </x:row>
    <x:row r="5">
      <x:c r="A5" s="28" t="str">
        <x:f>B5&amp;"-"&amp;E5&amp;"-"&amp;TEXT(F5,"00")</x:f>
        <x:v>RC-PROBLEM-001-PROMPT-04</x:v>
      </x:c>
      <x:c r="B5" s="28" t="str">
        <x:v>RC-PROBLEM-001</x:v>
      </x:c>
      <x:c r="C5" s="28" t="str">
        <x:v>RC-SOLUTION-001</x:v>
      </x:c>
      <x:c r="D5" s="28" t="str">
        <x:v>Prompt</x:v>
      </x:c>
      <x:c r="E5" s="28" t="str">
        <x:v>PROMPT</x:v>
      </x:c>
      <x:c r="F5" s="28" t="n">
        <x:v>4</x:v>
      </x:c>
      <x:c r="G5" s="28" t="str">
        <x:v>Resolução</x:v>
      </x:c>
      <x:c r="H5" s="28" t="str">
        <x:v>Chat/IA</x:v>
      </x:c>
      <x:c r="I5" s="28" t="str">
        <x:v>Aplicação imediata</x:v>
      </x:c>
      <x:c r="J5" s="28" t="str">
        <x:v>O mesmo problema, princípio e solução são adaptados ao formato sem refazer a pesquisa.</x:v>
      </x:c>
      <x:c r="K5" s="28" t="str">
        <x:v>Transforme este relatório em uma leitura cognitivamente mais simples.</x:v>
      </x:c>
      <x:c r="L5" s="28" t="str">
        <x:v>RC-CTA-001</x:v>
      </x:c>
      <x:c r="M5" s="28" t="str">
        <x:v>SCI-WM-001; WEB-W3C-001; WEB-W3C-003</x:v>
      </x:c>
      <x:c r="N5" s="28" t="str">
        <x:v>Leonardo</x:v>
      </x:c>
      <x:c r="O5" s="28" t="str">
        <x:v>Planejado</x:v>
      </x:c>
      <x:c r="P5" s="28" t="n">
        <x:v>1</x:v>
      </x:c>
      <x:c r="Q5" s="43"/>
      <x:c r="R5" s="43"/>
      <x:c r="S5" s="28" t="str"/>
      <x:c r="T5" s="28" t="str">
        <x:v>Usos</x:v>
      </x:c>
      <x:c r="U5" s="28" t="n">
        <x:v>0</x:v>
      </x:c>
      <x:c r="V5" s="28" t="n">
        <x:v>0</x:v>
      </x:c>
      <x:c r="W5" s="28" t="n">
        <x:v>0</x:v>
      </x:c>
      <x:c r="X5" s="28" t="n">
        <x:v>0</x:v>
      </x:c>
      <x:c r="Y5" s="28" t="n">
        <x:v>0</x:v>
      </x:c>
      <x:c r="Z5" s="28" t="n">
        <x:v>0</x:v>
      </x:c>
      <x:c r="AA5" s="28" t="n">
        <x:v>0</x:v>
      </x:c>
      <x:c r="AB5" s="42" t="n">
        <x:f>IFERROR((V5+W5+X5)/U5,0)</x:f>
        <x:v>0</x:v>
      </x:c>
      <x:c r="AC5" s="28" t="str">
        <x:v>Novo</x:v>
      </x:c>
      <x:c r="AD5" s="28" t="str">
        <x:v>Derivado automaticamente do problema canônico.</x:v>
      </x:c>
    </x:row>
    <x:row r="6">
      <x:c r="A6" s="28" t="str">
        <x:f>B6&amp;"-"&amp;E6&amp;"-"&amp;TEXT(F6,"00")</x:f>
        <x:v>RC-PROBLEM-001-HTML-05</x:v>
      </x:c>
      <x:c r="B6" s="28" t="str">
        <x:v>RC-PROBLEM-001</x:v>
      </x:c>
      <x:c r="C6" s="28" t="str">
        <x:v>RC-SOLUTION-001</x:v>
      </x:c>
      <x:c r="D6" s="28" t="str">
        <x:v>HTML</x:v>
      </x:c>
      <x:c r="E6" s="28" t="str">
        <x:v>HTML</x:v>
      </x:c>
      <x:c r="F6" s="28" t="n">
        <x:v>5</x:v>
      </x:c>
      <x:c r="G6" s="28" t="str">
        <x:v>Resolução</x:v>
      </x:c>
      <x:c r="H6" s="28" t="str">
        <x:v>Web</x:v>
      </x:c>
      <x:c r="I6" s="28" t="str">
        <x:v>Ferramenta prática</x:v>
      </x:c>
      <x:c r="J6" s="28" t="str">
        <x:v>O mesmo problema, princípio e solução são adaptados ao formato sem refazer a pesquisa.</x:v>
      </x:c>
      <x:c r="K6" s="28" t="str">
        <x:v>Cole seu conteúdo e gere uma versão estruturada para leitura e ação.</x:v>
      </x:c>
      <x:c r="L6" s="28" t="str">
        <x:v>RC-CTA-002</x:v>
      </x:c>
      <x:c r="M6" s="28" t="str">
        <x:v>SCI-WM-001; WEB-W3C-001; WEB-W3C-003</x:v>
      </x:c>
      <x:c r="N6" s="28" t="str">
        <x:v>Leonardo</x:v>
      </x:c>
      <x:c r="O6" s="28" t="str">
        <x:v>Planejado</x:v>
      </x:c>
      <x:c r="P6" s="28" t="n">
        <x:v>1</x:v>
      </x:c>
      <x:c r="Q6" s="43"/>
      <x:c r="R6" s="43"/>
      <x:c r="S6" s="28" t="str"/>
      <x:c r="T6" s="28" t="str">
        <x:v>Usos</x:v>
      </x:c>
      <x:c r="U6" s="28" t="n">
        <x:v>0</x:v>
      </x:c>
      <x:c r="V6" s="28" t="n">
        <x:v>0</x:v>
      </x:c>
      <x:c r="W6" s="28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0</x:v>
      </x:c>
      <x:c r="AB6" s="42" t="n">
        <x:f>IFERROR((V6+W6+X6)/U6,0)</x:f>
        <x:v>0</x:v>
      </x:c>
      <x:c r="AC6" s="28" t="str">
        <x:v>Novo</x:v>
      </x:c>
      <x:c r="AD6" s="28" t="str">
        <x:v>Derivado automaticamente do problema canônico.</x:v>
      </x:c>
    </x:row>
    <x:row r="7">
      <x:c r="A7" s="28" t="str">
        <x:f>B7&amp;"-"&amp;E7&amp;"-"&amp;TEXT(F7,"00")</x:f>
        <x:v>RC-PROBLEM-001-ART-06</x:v>
      </x:c>
      <x:c r="B7" s="28" t="str">
        <x:v>RC-PROBLEM-001</x:v>
      </x:c>
      <x:c r="C7" s="28" t="str">
        <x:v>RC-SOLUTION-001</x:v>
      </x:c>
      <x:c r="D7" s="28" t="str">
        <x:v>Artigo</x:v>
      </x:c>
      <x:c r="E7" s="28" t="str">
        <x:v>ART</x:v>
      </x:c>
      <x:c r="F7" s="28" t="n">
        <x:v>6</x:v>
      </x:c>
      <x:c r="G7" s="28" t="str">
        <x:v>Aprofundamento</x:v>
      </x:c>
      <x:c r="H7" s="28" t="str">
        <x:v>Blog</x:v>
      </x:c>
      <x:c r="I7" s="28" t="str">
        <x:v>Autoridade + evidência</x:v>
      </x:c>
      <x:c r="J7" s="28" t="str">
        <x:v>O mesmo problema, princípio e solução são adaptados ao formato sem refazer a pesquisa.</x:v>
      </x:c>
      <x:c r="K7" s="28" t="str">
        <x:v>Como estrutura, hierarquia e carga informacional afetam a leitura.</x:v>
      </x:c>
      <x:c r="L7" s="28" t="str">
        <x:v>RC-CTA-003</x:v>
      </x:c>
      <x:c r="M7" s="28" t="str">
        <x:v>SCI-WM-001; WEB-W3C-001; WEB-W3C-003</x:v>
      </x:c>
      <x:c r="N7" s="28" t="str">
        <x:v>Leonardo</x:v>
      </x:c>
      <x:c r="O7" s="28" t="str">
        <x:v>Planejado</x:v>
      </x:c>
      <x:c r="P7" s="28" t="n">
        <x:v>1</x:v>
      </x:c>
      <x:c r="Q7" s="43"/>
      <x:c r="R7" s="43"/>
      <x:c r="S7" s="28" t="str"/>
      <x:c r="T7" s="28" t="str">
        <x:v>Leitura completa</x:v>
      </x:c>
      <x:c r="U7" s="28" t="n">
        <x:v>0</x:v>
      </x:c>
      <x:c r="V7" s="28" t="n">
        <x:v>0</x:v>
      </x:c>
      <x:c r="W7" s="28" t="n">
        <x:v>0</x:v>
      </x:c>
      <x:c r="X7" s="28" t="n">
        <x:v>0</x:v>
      </x:c>
      <x:c r="Y7" s="28" t="n">
        <x:v>0</x:v>
      </x:c>
      <x:c r="Z7" s="28" t="n">
        <x:v>0</x:v>
      </x:c>
      <x:c r="AA7" s="28" t="n">
        <x:v>0</x:v>
      </x:c>
      <x:c r="AB7" s="42" t="n">
        <x:f>IFERROR((V7+W7+X7)/U7,0)</x:f>
        <x:v>0</x:v>
      </x:c>
      <x:c r="AC7" s="28" t="str">
        <x:v>Novo</x:v>
      </x:c>
      <x:c r="AD7" s="28" t="str">
        <x:v>Derivado automaticamente do problema canônico.</x:v>
      </x:c>
    </x:row>
    <x:row r="8">
      <x:c r="A8" s="28" t="str">
        <x:f>B8&amp;"-"&amp;E8&amp;"-"&amp;TEXT(F8,"00")</x:f>
        <x:v>RC-PROBLEM-001-IMG-07</x:v>
      </x:c>
      <x:c r="B8" s="28" t="str">
        <x:v>RC-PROBLEM-001</x:v>
      </x:c>
      <x:c r="C8" s="28" t="str">
        <x:v>RC-SOLUTION-001</x:v>
      </x:c>
      <x:c r="D8" s="28" t="str">
        <x:v>Imagem</x:v>
      </x:c>
      <x:c r="E8" s="28" t="str">
        <x:v>IMG</x:v>
      </x:c>
      <x:c r="F8" s="28" t="n">
        <x:v>7</x:v>
      </x:c>
      <x:c r="G8" s="28" t="str">
        <x:v>Descoberta</x:v>
      </x:c>
      <x:c r="H8" s="28" t="str">
        <x:v>Social</x:v>
      </x:c>
      <x:c r="I8" s="28" t="str">
        <x:v>Síntese visual</x:v>
      </x:c>
      <x:c r="J8" s="28" t="str">
        <x:v>O mesmo problema, princípio e solução são adaptados ao formato sem refazer a pesquisa.</x:v>
      </x:c>
      <x:c r="K8" s="28" t="str">
        <x:v>Antes: informação dispersa. Depois: hierarquia, decisão e próxima ação.</x:v>
      </x:c>
      <x:c r="L8" s="28" t="str">
        <x:v>RC-CTA-002</x:v>
      </x:c>
      <x:c r="M8" s="28" t="str">
        <x:v>SCI-WM-001; WEB-W3C-001; WEB-W3C-003</x:v>
      </x:c>
      <x:c r="N8" s="28" t="str">
        <x:v>Leonardo</x:v>
      </x:c>
      <x:c r="O8" s="28" t="str">
        <x:v>Planejado</x:v>
      </x:c>
      <x:c r="P8" s="28" t="n">
        <x:v>1</x:v>
      </x:c>
      <x:c r="Q8" s="43"/>
      <x:c r="R8" s="43"/>
      <x:c r="S8" s="28" t="str"/>
      <x:c r="T8" s="28" t="str">
        <x:v>Compartilhamentos</x:v>
      </x:c>
      <x:c r="U8" s="28" t="n">
        <x:v>0</x:v>
      </x:c>
      <x:c r="V8" s="28" t="n">
        <x:v>0</x:v>
      </x:c>
      <x:c r="W8" s="28" t="n">
        <x:v>0</x:v>
      </x:c>
      <x:c r="X8" s="28" t="n">
        <x:v>0</x:v>
      </x:c>
      <x:c r="Y8" s="28" t="n">
        <x:v>0</x:v>
      </x:c>
      <x:c r="Z8" s="28" t="n">
        <x:v>0</x:v>
      </x:c>
      <x:c r="AA8" s="28" t="n">
        <x:v>0</x:v>
      </x:c>
      <x:c r="AB8" s="42" t="n">
        <x:f>IFERROR((V8+W8+X8)/U8,0)</x:f>
        <x:v>0</x:v>
      </x:c>
      <x:c r="AC8" s="28" t="str">
        <x:v>Novo</x:v>
      </x:c>
      <x:c r="AD8" s="28" t="str">
        <x:v>Derivado automaticamente do problema canônico.</x:v>
      </x:c>
    </x:row>
    <x:row r="9">
      <x:c r="A9" s="28" t="str">
        <x:f>B9&amp;"-"&amp;E9&amp;"-"&amp;TEXT(F9,"00")</x:f>
        <x:v>RC-PROBLEM-001-PDF-08</x:v>
      </x:c>
      <x:c r="B9" s="28" t="str">
        <x:v>RC-PROBLEM-001</x:v>
      </x:c>
      <x:c r="C9" s="28" t="str">
        <x:v>RC-SOLUTION-001</x:v>
      </x:c>
      <x:c r="D9" s="28" t="str">
        <x:v>PDF</x:v>
      </x:c>
      <x:c r="E9" s="28" t="str">
        <x:v>PDF</x:v>
      </x:c>
      <x:c r="F9" s="28" t="n">
        <x:v>8</x:v>
      </x:c>
      <x:c r="G9" s="28" t="str">
        <x:v>Aprofundamento</x:v>
      </x:c>
      <x:c r="H9" s="28" t="str">
        <x:v>Download</x:v>
      </x:c>
      <x:c r="I9" s="28" t="str">
        <x:v>Material de referência</x:v>
      </x:c>
      <x:c r="J9" s="28" t="str">
        <x:v>O mesmo problema, princípio e solução são adaptados ao formato sem refazer a pesquisa.</x:v>
      </x:c>
      <x:c r="K9" s="28" t="str">
        <x:v>Guia prático para reduzir custo cognitivo em relatórios.</x:v>
      </x:c>
      <x:c r="L9" s="28" t="str">
        <x:v>RC-CTA-003</x:v>
      </x:c>
      <x:c r="M9" s="28" t="str">
        <x:v>SCI-WM-001; WEB-W3C-001; WEB-W3C-003</x:v>
      </x:c>
      <x:c r="N9" s="28" t="str">
        <x:v>Leonardo</x:v>
      </x:c>
      <x:c r="O9" s="28" t="str">
        <x:v>Planejado</x:v>
      </x:c>
      <x:c r="P9" s="28" t="n">
        <x:v>1</x:v>
      </x:c>
      <x:c r="Q9" s="43"/>
      <x:c r="R9" s="43"/>
      <x:c r="S9" s="28" t="str"/>
      <x:c r="T9" s="28" t="str">
        <x:v>Downloads</x:v>
      </x:c>
      <x:c r="U9" s="28" t="n">
        <x:v>0</x:v>
      </x:c>
      <x:c r="V9" s="28" t="n">
        <x:v>0</x:v>
      </x:c>
      <x:c r="W9" s="28" t="n">
        <x:v>0</x:v>
      </x:c>
      <x:c r="X9" s="28" t="n">
        <x:v>0</x:v>
      </x:c>
      <x:c r="Y9" s="28" t="n">
        <x:v>0</x:v>
      </x:c>
      <x:c r="Z9" s="28" t="n">
        <x:v>0</x:v>
      </x:c>
      <x:c r="AA9" s="28" t="n">
        <x:v>0</x:v>
      </x:c>
      <x:c r="AB9" s="42" t="n">
        <x:f>IFERROR((V9+W9+X9)/U9,0)</x:f>
        <x:v>0</x:v>
      </x:c>
      <x:c r="AC9" s="28" t="str">
        <x:v>Novo</x:v>
      </x:c>
      <x:c r="AD9" s="28" t="str">
        <x:v>Derivado automaticamente do problema canônico.</x:v>
      </x:c>
    </x:row>
    <x:row r="10">
      <x:c r="A10" s="28" t="str">
        <x:f>B10&amp;"-"&amp;E10&amp;"-"&amp;TEXT(F10,"00")</x:f>
        <x:v>RC-PROBLEM-001-PRISMA-09</x:v>
      </x:c>
      <x:c r="B10" s="28" t="str">
        <x:v>RC-PROBLEM-001</x:v>
      </x:c>
      <x:c r="C10" s="28" t="str">
        <x:v>RC-SOLUTION-001</x:v>
      </x:c>
      <x:c r="D10" s="28" t="str">
        <x:v>Prisma</x:v>
      </x:c>
      <x:c r="E10" s="28" t="str">
        <x:v>PRISMA</x:v>
      </x:c>
      <x:c r="F10" s="28" t="n">
        <x:v>9</x:v>
      </x:c>
      <x:c r="G10" s="28" t="str">
        <x:v>Resolução</x:v>
      </x:c>
      <x:c r="H10" s="28" t="str">
        <x:v>Físico/Impressão</x:v>
      </x:c>
      <x:c r="I10" s="28" t="str">
        <x:v>Levar o controle ao ambiente</x:v>
      </x:c>
      <x:c r="J10" s="28" t="str">
        <x:v>O mesmo problema, princípio e solução são adaptados ao formato sem refazer a pesquisa.</x:v>
      </x:c>
      <x:c r="K10" s="28" t="str">
        <x:v>Atalho físico para converter e revisar relatórios com menor carga.</x:v>
      </x:c>
      <x:c r="L10" s="28" t="str">
        <x:v>RC-CTA-002</x:v>
      </x:c>
      <x:c r="M10" s="28" t="str">
        <x:v>SCI-WM-001; WEB-W3C-001; WEB-W3C-003</x:v>
      </x:c>
      <x:c r="N10" s="28" t="str">
        <x:v>Leonardo</x:v>
      </x:c>
      <x:c r="O10" s="28" t="str">
        <x:v>Planejado</x:v>
      </x:c>
      <x:c r="P10" s="28" t="n">
        <x:v>1</x:v>
      </x:c>
      <x:c r="Q10" s="43"/>
      <x:c r="R10" s="43"/>
      <x:c r="S10" s="28" t="str"/>
      <x:c r="T10" s="28" t="str">
        <x:v>Uso recorrente</x:v>
      </x:c>
      <x:c r="U10" s="28" t="n">
        <x:v>0</x:v>
      </x:c>
      <x:c r="V10" s="28" t="n">
        <x:v>0</x:v>
      </x:c>
      <x:c r="W10" s="28" t="n">
        <x:v>0</x:v>
      </x:c>
      <x:c r="X10" s="28" t="n">
        <x:v>0</x:v>
      </x:c>
      <x:c r="Y10" s="28" t="n">
        <x:v>0</x:v>
      </x:c>
      <x:c r="Z10" s="28" t="n">
        <x:v>0</x:v>
      </x:c>
      <x:c r="AA10" s="28" t="n">
        <x:v>0</x:v>
      </x:c>
      <x:c r="AB10" s="42" t="n">
        <x:f>IFERROR((V10+W10+X10)/U10,0)</x:f>
        <x:v>0</x:v>
      </x:c>
      <x:c r="AC10" s="28" t="str">
        <x:v>Novo</x:v>
      </x:c>
      <x:c r="AD10" s="28" t="str">
        <x:v>Derivado automaticamente do problema canônico.</x:v>
      </x:c>
    </x:row>
    <x:row r="11">
      <x:c r="A11" s="28" t="str">
        <x:f>B11&amp;"-"&amp;E11&amp;"-"&amp;TEXT(F11,"00")</x:f>
        <x:v>RC-PROBLEM-001-NEWS-10</x:v>
      </x:c>
      <x:c r="B11" s="28" t="str">
        <x:v>RC-PROBLEM-001</x:v>
      </x:c>
      <x:c r="C11" s="28" t="str">
        <x:v>RC-SOLUTION-001</x:v>
      </x:c>
      <x:c r="D11" s="28" t="str">
        <x:v>Newsletter</x:v>
      </x:c>
      <x:c r="E11" s="28" t="str">
        <x:v>NEWS</x:v>
      </x:c>
      <x:c r="F11" s="28" t="n">
        <x:v>10</x:v>
      </x:c>
      <x:c r="G11" s="28" t="str">
        <x:v>Aprofundamento</x:v>
      </x:c>
      <x:c r="H11" s="28" t="str">
        <x:v>E-mail</x:v>
      </x:c>
      <x:c r="I11" s="28" t="str">
        <x:v>Relacionamento + educação</x:v>
      </x:c>
      <x:c r="J11" s="28" t="str">
        <x:v>O mesmo problema, princípio e solução são adaptados ao formato sem refazer a pesquisa.</x:v>
      </x:c>
      <x:c r="K11" s="28" t="str">
        <x:v>O problema não é só o tamanho do relatório; é o que ele exige da cognição.</x:v>
      </x:c>
      <x:c r="L11" s="28" t="str">
        <x:v>RC-CTA-003</x:v>
      </x:c>
      <x:c r="M11" s="28" t="str">
        <x:v>SCI-WM-001; WEB-W3C-001; WEB-W3C-003</x:v>
      </x:c>
      <x:c r="N11" s="28" t="str">
        <x:v>Leonardo</x:v>
      </x:c>
      <x:c r="O11" s="28" t="str">
        <x:v>Planejado</x:v>
      </x:c>
      <x:c r="P11" s="28" t="n">
        <x:v>1</x:v>
      </x:c>
      <x:c r="Q11" s="43"/>
      <x:c r="R11" s="43"/>
      <x:c r="S11" s="28" t="str"/>
      <x:c r="T11" s="28" t="str">
        <x:v>Cliques</x:v>
      </x:c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28" t="n">
        <x:v>0</x:v>
      </x:c>
      <x:c r="Z11" s="28" t="n">
        <x:v>0</x:v>
      </x:c>
      <x:c r="AA11" s="28" t="n">
        <x:v>0</x:v>
      </x:c>
      <x:c r="AB11" s="42" t="n">
        <x:f>IFERROR((V11+W11+X11)/U11,0)</x:f>
        <x:v>0</x:v>
      </x:c>
      <x:c r="AC11" s="28" t="str">
        <x:v>Novo</x:v>
      </x:c>
      <x:c r="AD11" s="28" t="str">
        <x:v>Derivado automaticamente do problema canônico.</x:v>
      </x:c>
    </x:row>
    <x:row r="12">
      <x:c r="A12" s="28" t="str">
        <x:f>B12&amp;"-"&amp;E12&amp;"-"&amp;TEXT(F12,"00")</x:f>
        <x:v>RC-PROBLEM-001-CTA-11</x:v>
      </x:c>
      <x:c r="B12" s="28" t="str">
        <x:v>RC-PROBLEM-001</x:v>
      </x:c>
      <x:c r="C12" s="28" t="str">
        <x:v>RC-SOLUTION-001</x:v>
      </x:c>
      <x:c r="D12" s="28" t="str">
        <x:v>CTA</x:v>
      </x:c>
      <x:c r="E12" s="28" t="str">
        <x:v>CTA</x:v>
      </x:c>
      <x:c r="F12" s="28" t="n">
        <x:v>11</x:v>
      </x:c>
      <x:c r="G12" s="28" t="str">
        <x:v>Conversão</x:v>
      </x:c>
      <x:c r="H12" s="28" t="str">
        <x:v>Cross-channel</x:v>
      </x:c>
      <x:c r="I12" s="28" t="str">
        <x:v>Próxima ação</x:v>
      </x:c>
      <x:c r="J12" s="28" t="str">
        <x:v>O mesmo problema, princípio e solução são adaptados ao formato sem refazer a pesquisa.</x:v>
      </x:c>
      <x:c r="K12" s="28" t="str">
        <x:v>Teste com um relatório real e compare o antes e depois.</x:v>
      </x:c>
      <x:c r="L12" s="28" t="str">
        <x:v>RC-CTA-001</x:v>
      </x:c>
      <x:c r="M12" s="28" t="str">
        <x:v>SCI-WM-001; WEB-W3C-001; WEB-W3C-003</x:v>
      </x:c>
      <x:c r="N12" s="28" t="str">
        <x:v>Leonardo</x:v>
      </x:c>
      <x:c r="O12" s="28" t="str">
        <x:v>Planejado</x:v>
      </x:c>
      <x:c r="P12" s="28" t="n">
        <x:v>1</x:v>
      </x:c>
      <x:c r="Q12" s="43"/>
      <x:c r="R12" s="43"/>
      <x:c r="S12" s="28" t="str"/>
      <x:c r="T12" s="28" t="str">
        <x:v>Cliques</x:v>
      </x:c>
      <x:c r="U12" s="28" t="n">
        <x:v>0</x:v>
      </x:c>
      <x:c r="V12" s="28" t="n">
        <x:v>0</x:v>
      </x:c>
      <x:c r="W12" s="28" t="n">
        <x:v>0</x:v>
      </x:c>
      <x:c r="X12" s="28" t="n">
        <x:v>0</x:v>
      </x:c>
      <x:c r="Y12" s="28" t="n">
        <x:v>0</x:v>
      </x:c>
      <x:c r="Z12" s="28" t="n">
        <x:v>0</x:v>
      </x:c>
      <x:c r="AA12" s="28" t="n">
        <x:v>0</x:v>
      </x:c>
      <x:c r="AB12" s="42" t="n">
        <x:f>IFERROR((V12+W12+X12)/U12,0)</x:f>
        <x:v>0</x:v>
      </x:c>
      <x:c r="AC12" s="28" t="str">
        <x:v>Novo</x:v>
      </x:c>
      <x:c r="AD12" s="28" t="str">
        <x:v>Derivado automaticamente do problema canônico.</x:v>
      </x:c>
    </x:row>
    <x:row r="13">
      <x:c r="A13" s="28" t="str">
        <x:f>B13&amp;"-"&amp;E13&amp;"-"&amp;TEXT(F13,"00")</x:f>
        <x:v>RC-PROBLEM-001-LINKEDIN-12</x:v>
      </x:c>
      <x:c r="B13" s="28" t="str">
        <x:v>RC-PROBLEM-001</x:v>
      </x:c>
      <x:c r="C13" s="28" t="str">
        <x:v>RC-SOLUTION-001</x:v>
      </x:c>
      <x:c r="D13" s="28" t="str">
        <x:v>LinkedIn</x:v>
      </x:c>
      <x:c r="E13" s="28" t="str">
        <x:v>LINKEDIN</x:v>
      </x:c>
      <x:c r="F13" s="28" t="n">
        <x:v>12</x:v>
      </x:c>
      <x:c r="G13" s="28" t="str">
        <x:v>Aprofundamento</x:v>
      </x:c>
      <x:c r="H13" s="28" t="str">
        <x:v>LinkedIn</x:v>
      </x:c>
      <x:c r="I13" s="28" t="str">
        <x:v>Autoridade profissional</x:v>
      </x:c>
      <x:c r="J13" s="28" t="str">
        <x:v>O mesmo problema, princípio e solução são adaptados ao formato sem refazer a pesquisa.</x:v>
      </x:c>
      <x:c r="K13" s="28" t="str">
        <x:v>Relatórios deveriam externalizar contexto, não exigir que o leitor reconstrua tudo mentalmente.</x:v>
      </x:c>
      <x:c r="L13" s="28" t="str">
        <x:v>RC-CTA-003</x:v>
      </x:c>
      <x:c r="M13" s="28" t="str">
        <x:v>SCI-WM-001; WEB-W3C-001; WEB-W3C-003</x:v>
      </x:c>
      <x:c r="N13" s="28" t="str">
        <x:v>Leonardo</x:v>
      </x:c>
      <x:c r="O13" s="28" t="str">
        <x:v>Planejado</x:v>
      </x:c>
      <x:c r="P13" s="28" t="n">
        <x:v>1</x:v>
      </x:c>
      <x:c r="Q13" s="43"/>
      <x:c r="R13" s="43"/>
      <x:c r="S13" s="28" t="str"/>
      <x:c r="T13" s="28" t="str">
        <x:v>Interações</x:v>
      </x:c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28" t="n">
        <x:v>0</x:v>
      </x:c>
      <x:c r="Z13" s="28" t="n">
        <x:v>0</x:v>
      </x:c>
      <x:c r="AA13" s="28" t="n">
        <x:v>0</x:v>
      </x:c>
      <x:c r="AB13" s="42" t="n">
        <x:f>IFERROR((V13+W13+X13)/U13,0)</x:f>
        <x:v>0</x:v>
      </x:c>
      <x:c r="AC13" s="28" t="str">
        <x:v>Novo</x:v>
      </x:c>
      <x:c r="AD13" s="28" t="str">
        <x:v>Derivado automaticamente do problema canônico.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43"/>
      <x:c r="R14" s="43"/>
      <x:c r="S14" s="28"/>
      <x:c r="T14" s="28"/>
      <x:c r="U14" s="28"/>
      <x:c r="V14" s="28"/>
      <x:c r="W14" s="28"/>
      <x:c r="X14" s="28"/>
      <x:c r="Y14" s="28"/>
      <x:c r="Z14" s="28"/>
      <x:c r="AA14" s="28"/>
      <x:c r="AB14" s="42"/>
      <x:c r="AC14" s="28"/>
      <x:c r="AD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43"/>
      <x:c r="R15" s="43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42"/>
      <x:c r="AC15" s="28"/>
      <x:c r="AD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43"/>
      <x:c r="R16" s="43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42"/>
      <x:c r="AC16" s="28"/>
      <x:c r="AD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43"/>
      <x:c r="R17" s="43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42"/>
      <x:c r="AC17" s="28"/>
      <x:c r="AD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43"/>
      <x:c r="R18" s="43"/>
      <x:c r="S18" s="28"/>
      <x:c r="T18" s="28"/>
      <x:c r="U18" s="28"/>
      <x:c r="V18" s="28"/>
      <x:c r="W18" s="28"/>
      <x:c r="X18" s="28"/>
      <x:c r="Y18" s="28"/>
      <x:c r="Z18" s="28"/>
      <x:c r="AA18" s="28"/>
      <x:c r="AB18" s="42"/>
      <x:c r="AC18" s="28"/>
      <x:c r="AD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43"/>
      <x:c r="R19" s="43"/>
      <x:c r="S19" s="28"/>
      <x:c r="T19" s="28"/>
      <x:c r="U19" s="28"/>
      <x:c r="V19" s="28"/>
      <x:c r="W19" s="28"/>
      <x:c r="X19" s="28"/>
      <x:c r="Y19" s="28"/>
      <x:c r="Z19" s="28"/>
      <x:c r="AA19" s="28"/>
      <x:c r="AB19" s="42"/>
      <x:c r="AC19" s="28"/>
      <x:c r="AD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43"/>
      <x:c r="R20" s="43"/>
      <x:c r="S20" s="28"/>
      <x:c r="T20" s="28"/>
      <x:c r="U20" s="28"/>
      <x:c r="V20" s="28"/>
      <x:c r="W20" s="28"/>
      <x:c r="X20" s="28"/>
      <x:c r="Y20" s="28"/>
      <x:c r="Z20" s="28"/>
      <x:c r="AA20" s="28"/>
      <x:c r="AB20" s="42"/>
      <x:c r="AC20" s="28"/>
      <x:c r="AD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43"/>
      <x:c r="R21" s="43"/>
      <x:c r="S21" s="28"/>
      <x:c r="T21" s="28"/>
      <x:c r="U21" s="28"/>
      <x:c r="V21" s="28"/>
      <x:c r="W21" s="28"/>
      <x:c r="X21" s="28"/>
      <x:c r="Y21" s="28"/>
      <x:c r="Z21" s="28"/>
      <x:c r="AA21" s="28"/>
      <x:c r="AB21" s="42"/>
      <x:c r="AC21" s="28"/>
      <x:c r="AD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43"/>
      <x:c r="R22" s="43"/>
      <x:c r="S22" s="28"/>
      <x:c r="T22" s="28"/>
      <x:c r="U22" s="28"/>
      <x:c r="V22" s="28"/>
      <x:c r="W22" s="28"/>
      <x:c r="X22" s="28"/>
      <x:c r="Y22" s="28"/>
      <x:c r="Z22" s="28"/>
      <x:c r="AA22" s="28"/>
      <x:c r="AB22" s="42"/>
      <x:c r="AC22" s="28"/>
      <x:c r="AD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43"/>
      <x:c r="R23" s="43"/>
      <x:c r="S23" s="28"/>
      <x:c r="T23" s="28"/>
      <x:c r="U23" s="28"/>
      <x:c r="V23" s="28"/>
      <x:c r="W23" s="28"/>
      <x:c r="X23" s="28"/>
      <x:c r="Y23" s="28"/>
      <x:c r="Z23" s="28"/>
      <x:c r="AA23" s="28"/>
      <x:c r="AB23" s="42"/>
      <x:c r="AC23" s="28"/>
      <x:c r="AD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43"/>
      <x:c r="R24" s="43"/>
      <x:c r="S24" s="28"/>
      <x:c r="T24" s="28"/>
      <x:c r="U24" s="28"/>
      <x:c r="V24" s="28"/>
      <x:c r="W24" s="28"/>
      <x:c r="X24" s="28"/>
      <x:c r="Y24" s="28"/>
      <x:c r="Z24" s="28"/>
      <x:c r="AA24" s="28"/>
      <x:c r="AB24" s="42"/>
      <x:c r="AC24" s="28"/>
      <x:c r="AD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43"/>
      <x:c r="R25" s="43"/>
      <x:c r="S25" s="28"/>
      <x:c r="T25" s="28"/>
      <x:c r="U25" s="28"/>
      <x:c r="V25" s="28"/>
      <x:c r="W25" s="28"/>
      <x:c r="X25" s="28"/>
      <x:c r="Y25" s="28"/>
      <x:c r="Z25" s="28"/>
      <x:c r="AA25" s="28"/>
      <x:c r="AB25" s="42"/>
      <x:c r="AC25" s="28"/>
      <x:c r="AD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43"/>
      <x:c r="R26" s="43"/>
      <x:c r="S26" s="28"/>
      <x:c r="T26" s="28"/>
      <x:c r="U26" s="28"/>
      <x:c r="V26" s="28"/>
      <x:c r="W26" s="28"/>
      <x:c r="X26" s="28"/>
      <x:c r="Y26" s="28"/>
      <x:c r="Z26" s="28"/>
      <x:c r="AA26" s="28"/>
      <x:c r="AB26" s="42"/>
      <x:c r="AC26" s="28"/>
      <x:c r="AD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43"/>
      <x:c r="R27" s="43"/>
      <x:c r="S27" s="28"/>
      <x:c r="T27" s="28"/>
      <x:c r="U27" s="28"/>
      <x:c r="V27" s="28"/>
      <x:c r="W27" s="28"/>
      <x:c r="X27" s="28"/>
      <x:c r="Y27" s="28"/>
      <x:c r="Z27" s="28"/>
      <x:c r="AA27" s="28"/>
      <x:c r="AB27" s="42"/>
      <x:c r="AC27" s="28"/>
      <x:c r="AD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43"/>
      <x:c r="R28" s="43"/>
      <x:c r="S28" s="28"/>
      <x:c r="T28" s="28"/>
      <x:c r="U28" s="28"/>
      <x:c r="V28" s="28"/>
      <x:c r="W28" s="28"/>
      <x:c r="X28" s="28"/>
      <x:c r="Y28" s="28"/>
      <x:c r="Z28" s="28"/>
      <x:c r="AA28" s="28"/>
      <x:c r="AB28" s="42"/>
      <x:c r="AC28" s="28"/>
      <x:c r="AD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43"/>
      <x:c r="R29" s="43"/>
      <x:c r="S29" s="28"/>
      <x:c r="T29" s="28"/>
      <x:c r="U29" s="28"/>
      <x:c r="V29" s="28"/>
      <x:c r="W29" s="28"/>
      <x:c r="X29" s="28"/>
      <x:c r="Y29" s="28"/>
      <x:c r="Z29" s="28"/>
      <x:c r="AA29" s="28"/>
      <x:c r="AB29" s="42"/>
      <x:c r="AC29" s="28"/>
      <x:c r="AD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43"/>
      <x:c r="R30" s="43"/>
      <x:c r="S30" s="28"/>
      <x:c r="T30" s="28"/>
      <x:c r="U30" s="28"/>
      <x:c r="V30" s="28"/>
      <x:c r="W30" s="28"/>
      <x:c r="X30" s="28"/>
      <x:c r="Y30" s="28"/>
      <x:c r="Z30" s="28"/>
      <x:c r="AA30" s="28"/>
      <x:c r="AB30" s="42"/>
      <x:c r="AC30" s="28"/>
      <x:c r="AD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43"/>
      <x:c r="R31" s="43"/>
      <x:c r="S31" s="28"/>
      <x:c r="T31" s="28"/>
      <x:c r="U31" s="28"/>
      <x:c r="V31" s="28"/>
      <x:c r="W31" s="28"/>
      <x:c r="X31" s="28"/>
      <x:c r="Y31" s="28"/>
      <x:c r="Z31" s="28"/>
      <x:c r="AA31" s="28"/>
      <x:c r="AB31" s="42"/>
      <x:c r="AC31" s="28"/>
      <x:c r="AD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43"/>
      <x:c r="R32" s="43"/>
      <x:c r="S32" s="28"/>
      <x:c r="T32" s="28"/>
      <x:c r="U32" s="28"/>
      <x:c r="V32" s="28"/>
      <x:c r="W32" s="28"/>
      <x:c r="X32" s="28"/>
      <x:c r="Y32" s="28"/>
      <x:c r="Z32" s="28"/>
      <x:c r="AA32" s="28"/>
      <x:c r="AB32" s="42"/>
      <x:c r="AC32" s="28"/>
      <x:c r="AD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43"/>
      <x:c r="R33" s="43"/>
      <x:c r="S33" s="28"/>
      <x:c r="T33" s="28"/>
      <x:c r="U33" s="28"/>
      <x:c r="V33" s="28"/>
      <x:c r="W33" s="28"/>
      <x:c r="X33" s="28"/>
      <x:c r="Y33" s="28"/>
      <x:c r="Z33" s="28"/>
      <x:c r="AA33" s="28"/>
      <x:c r="AB33" s="42"/>
      <x:c r="AC33" s="28"/>
      <x:c r="AD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43"/>
      <x:c r="R34" s="43"/>
      <x:c r="S34" s="28"/>
      <x:c r="T34" s="28"/>
      <x:c r="U34" s="28"/>
      <x:c r="V34" s="28"/>
      <x:c r="W34" s="28"/>
      <x:c r="X34" s="28"/>
      <x:c r="Y34" s="28"/>
      <x:c r="Z34" s="28"/>
      <x:c r="AA34" s="28"/>
      <x:c r="AB34" s="42"/>
      <x:c r="AC34" s="28"/>
      <x:c r="AD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43"/>
      <x:c r="R35" s="43"/>
      <x:c r="S35" s="28"/>
      <x:c r="T35" s="28"/>
      <x:c r="U35" s="28"/>
      <x:c r="V35" s="28"/>
      <x:c r="W35" s="28"/>
      <x:c r="X35" s="28"/>
      <x:c r="Y35" s="28"/>
      <x:c r="Z35" s="28"/>
      <x:c r="AA35" s="28"/>
      <x:c r="AB35" s="42"/>
      <x:c r="AC35" s="28"/>
      <x:c r="AD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43"/>
      <x:c r="R36" s="43"/>
      <x:c r="S36" s="28"/>
      <x:c r="T36" s="28"/>
      <x:c r="U36" s="28"/>
      <x:c r="V36" s="28"/>
      <x:c r="W36" s="28"/>
      <x:c r="X36" s="28"/>
      <x:c r="Y36" s="28"/>
      <x:c r="Z36" s="28"/>
      <x:c r="AA36" s="28"/>
      <x:c r="AB36" s="42"/>
      <x:c r="AC36" s="28"/>
      <x:c r="AD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43"/>
      <x:c r="R37" s="43"/>
      <x:c r="S37" s="28"/>
      <x:c r="T37" s="28"/>
      <x:c r="U37" s="28"/>
      <x:c r="V37" s="28"/>
      <x:c r="W37" s="28"/>
      <x:c r="X37" s="28"/>
      <x:c r="Y37" s="28"/>
      <x:c r="Z37" s="28"/>
      <x:c r="AA37" s="28"/>
      <x:c r="AB37" s="42"/>
      <x:c r="AC37" s="28"/>
      <x:c r="AD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43"/>
      <x:c r="R38" s="43"/>
      <x:c r="S38" s="28"/>
      <x:c r="T38" s="28"/>
      <x:c r="U38" s="28"/>
      <x:c r="V38" s="28"/>
      <x:c r="W38" s="28"/>
      <x:c r="X38" s="28"/>
      <x:c r="Y38" s="28"/>
      <x:c r="Z38" s="28"/>
      <x:c r="AA38" s="28"/>
      <x:c r="AB38" s="42"/>
      <x:c r="AC38" s="28"/>
      <x:c r="AD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43"/>
      <x:c r="R39" s="43"/>
      <x:c r="S39" s="28"/>
      <x:c r="T39" s="28"/>
      <x:c r="U39" s="28"/>
      <x:c r="V39" s="28"/>
      <x:c r="W39" s="28"/>
      <x:c r="X39" s="28"/>
      <x:c r="Y39" s="28"/>
      <x:c r="Z39" s="28"/>
      <x:c r="AA39" s="28"/>
      <x:c r="AB39" s="42"/>
      <x:c r="AC39" s="28"/>
      <x:c r="AD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43"/>
      <x:c r="R40" s="43"/>
      <x:c r="S40" s="28"/>
      <x:c r="T40" s="28"/>
      <x:c r="U40" s="28"/>
      <x:c r="V40" s="28"/>
      <x:c r="W40" s="28"/>
      <x:c r="X40" s="28"/>
      <x:c r="Y40" s="28"/>
      <x:c r="Z40" s="28"/>
      <x:c r="AA40" s="28"/>
      <x:c r="AB40" s="42"/>
      <x:c r="AC40" s="28"/>
      <x:c r="AD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43"/>
      <x:c r="R41" s="43"/>
      <x:c r="S41" s="28"/>
      <x:c r="T41" s="28"/>
      <x:c r="U41" s="28"/>
      <x:c r="V41" s="28"/>
      <x:c r="W41" s="28"/>
      <x:c r="X41" s="28"/>
      <x:c r="Y41" s="28"/>
      <x:c r="Z41" s="28"/>
      <x:c r="AA41" s="28"/>
      <x:c r="AB41" s="42"/>
      <x:c r="AC41" s="28"/>
      <x:c r="AD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43"/>
      <x:c r="R42" s="43"/>
      <x:c r="S42" s="28"/>
      <x:c r="T42" s="28"/>
      <x:c r="U42" s="28"/>
      <x:c r="V42" s="28"/>
      <x:c r="W42" s="28"/>
      <x:c r="X42" s="28"/>
      <x:c r="Y42" s="28"/>
      <x:c r="Z42" s="28"/>
      <x:c r="AA42" s="28"/>
      <x:c r="AB42" s="42"/>
      <x:c r="AC42" s="28"/>
      <x:c r="AD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43"/>
      <x:c r="R43" s="43"/>
      <x:c r="S43" s="28"/>
      <x:c r="T43" s="28"/>
      <x:c r="U43" s="28"/>
      <x:c r="V43" s="28"/>
      <x:c r="W43" s="28"/>
      <x:c r="X43" s="28"/>
      <x:c r="Y43" s="28"/>
      <x:c r="Z43" s="28"/>
      <x:c r="AA43" s="28"/>
      <x:c r="AB43" s="42"/>
      <x:c r="AC43" s="28"/>
      <x:c r="AD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43"/>
      <x:c r="R44" s="43"/>
      <x:c r="S44" s="28"/>
      <x:c r="T44" s="28"/>
      <x:c r="U44" s="28"/>
      <x:c r="V44" s="28"/>
      <x:c r="W44" s="28"/>
      <x:c r="X44" s="28"/>
      <x:c r="Y44" s="28"/>
      <x:c r="Z44" s="28"/>
      <x:c r="AA44" s="28"/>
      <x:c r="AB44" s="42"/>
      <x:c r="AC44" s="28"/>
      <x:c r="AD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43"/>
      <x:c r="R45" s="43"/>
      <x:c r="S45" s="28"/>
      <x:c r="T45" s="28"/>
      <x:c r="U45" s="28"/>
      <x:c r="V45" s="28"/>
      <x:c r="W45" s="28"/>
      <x:c r="X45" s="28"/>
      <x:c r="Y45" s="28"/>
      <x:c r="Z45" s="28"/>
      <x:c r="AA45" s="28"/>
      <x:c r="AB45" s="42"/>
      <x:c r="AC45" s="28"/>
      <x:c r="AD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43"/>
      <x:c r="R46" s="43"/>
      <x:c r="S46" s="28"/>
      <x:c r="T46" s="28"/>
      <x:c r="U46" s="28"/>
      <x:c r="V46" s="28"/>
      <x:c r="W46" s="28"/>
      <x:c r="X46" s="28"/>
      <x:c r="Y46" s="28"/>
      <x:c r="Z46" s="28"/>
      <x:c r="AA46" s="28"/>
      <x:c r="AB46" s="42"/>
      <x:c r="AC46" s="28"/>
      <x:c r="AD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43"/>
      <x:c r="R47" s="43"/>
      <x:c r="S47" s="28"/>
      <x:c r="T47" s="28"/>
      <x:c r="U47" s="28"/>
      <x:c r="V47" s="28"/>
      <x:c r="W47" s="28"/>
      <x:c r="X47" s="28"/>
      <x:c r="Y47" s="28"/>
      <x:c r="Z47" s="28"/>
      <x:c r="AA47" s="28"/>
      <x:c r="AB47" s="42"/>
      <x:c r="AC47" s="28"/>
      <x:c r="AD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43"/>
      <x:c r="R48" s="43"/>
      <x:c r="S48" s="28"/>
      <x:c r="T48" s="28"/>
      <x:c r="U48" s="28"/>
      <x:c r="V48" s="28"/>
      <x:c r="W48" s="28"/>
      <x:c r="X48" s="28"/>
      <x:c r="Y48" s="28"/>
      <x:c r="Z48" s="28"/>
      <x:c r="AA48" s="28"/>
      <x:c r="AB48" s="42"/>
      <x:c r="AC48" s="28"/>
      <x:c r="AD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43"/>
      <x:c r="R49" s="43"/>
      <x:c r="S49" s="28"/>
      <x:c r="T49" s="28"/>
      <x:c r="U49" s="28"/>
      <x:c r="V49" s="28"/>
      <x:c r="W49" s="28"/>
      <x:c r="X49" s="28"/>
      <x:c r="Y49" s="28"/>
      <x:c r="Z49" s="28"/>
      <x:c r="AA49" s="28"/>
      <x:c r="AB49" s="42"/>
      <x:c r="AC49" s="28"/>
      <x:c r="AD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43"/>
      <x:c r="R50" s="43"/>
      <x:c r="S50" s="28"/>
      <x:c r="T50" s="28"/>
      <x:c r="U50" s="28"/>
      <x:c r="V50" s="28"/>
      <x:c r="W50" s="28"/>
      <x:c r="X50" s="28"/>
      <x:c r="Y50" s="28"/>
      <x:c r="Z50" s="28"/>
      <x:c r="AA50" s="28"/>
      <x:c r="AB50" s="42"/>
      <x:c r="AC50" s="28"/>
      <x:c r="AD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43"/>
      <x:c r="R51" s="43"/>
      <x:c r="S51" s="28"/>
      <x:c r="T51" s="28"/>
      <x:c r="U51" s="28"/>
      <x:c r="V51" s="28"/>
      <x:c r="W51" s="28"/>
      <x:c r="X51" s="28"/>
      <x:c r="Y51" s="28"/>
      <x:c r="Z51" s="28"/>
      <x:c r="AA51" s="28"/>
      <x:c r="AB51" s="42"/>
      <x:c r="AC51" s="28"/>
      <x:c r="AD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43"/>
      <x:c r="R52" s="43"/>
      <x:c r="S52" s="28"/>
      <x:c r="T52" s="28"/>
      <x:c r="U52" s="28"/>
      <x:c r="V52" s="28"/>
      <x:c r="W52" s="28"/>
      <x:c r="X52" s="28"/>
      <x:c r="Y52" s="28"/>
      <x:c r="Z52" s="28"/>
      <x:c r="AA52" s="28"/>
      <x:c r="AB52" s="42"/>
      <x:c r="AC52" s="28"/>
      <x:c r="AD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43"/>
      <x:c r="R53" s="43"/>
      <x:c r="S53" s="28"/>
      <x:c r="T53" s="28"/>
      <x:c r="U53" s="28"/>
      <x:c r="V53" s="28"/>
      <x:c r="W53" s="28"/>
      <x:c r="X53" s="28"/>
      <x:c r="Y53" s="28"/>
      <x:c r="Z53" s="28"/>
      <x:c r="AA53" s="28"/>
      <x:c r="AB53" s="42"/>
      <x:c r="AC53" s="28"/>
      <x:c r="AD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43"/>
      <x:c r="R54" s="43"/>
      <x:c r="S54" s="28"/>
      <x:c r="T54" s="28"/>
      <x:c r="U54" s="28"/>
      <x:c r="V54" s="28"/>
      <x:c r="W54" s="28"/>
      <x:c r="X54" s="28"/>
      <x:c r="Y54" s="28"/>
      <x:c r="Z54" s="28"/>
      <x:c r="AA54" s="28"/>
      <x:c r="AB54" s="42"/>
      <x:c r="AC54" s="28"/>
      <x:c r="AD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43"/>
      <x:c r="R55" s="43"/>
      <x:c r="S55" s="28"/>
      <x:c r="T55" s="28"/>
      <x:c r="U55" s="28"/>
      <x:c r="V55" s="28"/>
      <x:c r="W55" s="28"/>
      <x:c r="X55" s="28"/>
      <x:c r="Y55" s="28"/>
      <x:c r="Z55" s="28"/>
      <x:c r="AA55" s="28"/>
      <x:c r="AB55" s="42"/>
      <x:c r="AC55" s="28"/>
      <x:c r="AD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43"/>
      <x:c r="R56" s="43"/>
      <x:c r="S56" s="28"/>
      <x:c r="T56" s="28"/>
      <x:c r="U56" s="28"/>
      <x:c r="V56" s="28"/>
      <x:c r="W56" s="28"/>
      <x:c r="X56" s="28"/>
      <x:c r="Y56" s="28"/>
      <x:c r="Z56" s="28"/>
      <x:c r="AA56" s="28"/>
      <x:c r="AB56" s="42"/>
      <x:c r="AC56" s="28"/>
      <x:c r="AD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43"/>
      <x:c r="R57" s="43"/>
      <x:c r="S57" s="28"/>
      <x:c r="T57" s="28"/>
      <x:c r="U57" s="28"/>
      <x:c r="V57" s="28"/>
      <x:c r="W57" s="28"/>
      <x:c r="X57" s="28"/>
      <x:c r="Y57" s="28"/>
      <x:c r="Z57" s="28"/>
      <x:c r="AA57" s="28"/>
      <x:c r="AB57" s="42"/>
      <x:c r="AC57" s="28"/>
      <x:c r="AD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43"/>
      <x:c r="R58" s="43"/>
      <x:c r="S58" s="28"/>
      <x:c r="T58" s="28"/>
      <x:c r="U58" s="28"/>
      <x:c r="V58" s="28"/>
      <x:c r="W58" s="28"/>
      <x:c r="X58" s="28"/>
      <x:c r="Y58" s="28"/>
      <x:c r="Z58" s="28"/>
      <x:c r="AA58" s="28"/>
      <x:c r="AB58" s="42"/>
      <x:c r="AC58" s="28"/>
      <x:c r="AD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43"/>
      <x:c r="R59" s="43"/>
      <x:c r="S59" s="28"/>
      <x:c r="T59" s="28"/>
      <x:c r="U59" s="28"/>
      <x:c r="V59" s="28"/>
      <x:c r="W59" s="28"/>
      <x:c r="X59" s="28"/>
      <x:c r="Y59" s="28"/>
      <x:c r="Z59" s="28"/>
      <x:c r="AA59" s="28"/>
      <x:c r="AB59" s="42"/>
      <x:c r="AC59" s="28"/>
      <x:c r="AD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43"/>
      <x:c r="R60" s="43"/>
      <x:c r="S60" s="28"/>
      <x:c r="T60" s="28"/>
      <x:c r="U60" s="28"/>
      <x:c r="V60" s="28"/>
      <x:c r="W60" s="28"/>
      <x:c r="X60" s="28"/>
      <x:c r="Y60" s="28"/>
      <x:c r="Z60" s="28"/>
      <x:c r="AA60" s="28"/>
      <x:c r="AB60" s="42"/>
      <x:c r="AC60" s="28"/>
      <x:c r="AD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43"/>
      <x:c r="R61" s="43"/>
      <x:c r="S61" s="28"/>
      <x:c r="T61" s="28"/>
      <x:c r="U61" s="28"/>
      <x:c r="V61" s="28"/>
      <x:c r="W61" s="28"/>
      <x:c r="X61" s="28"/>
      <x:c r="Y61" s="28"/>
      <x:c r="Z61" s="28"/>
      <x:c r="AA61" s="28"/>
      <x:c r="AB61" s="42"/>
      <x:c r="AC61" s="28"/>
      <x:c r="AD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43"/>
      <x:c r="R62" s="43"/>
      <x:c r="S62" s="28"/>
      <x:c r="T62" s="28"/>
      <x:c r="U62" s="28"/>
      <x:c r="V62" s="28"/>
      <x:c r="W62" s="28"/>
      <x:c r="X62" s="28"/>
      <x:c r="Y62" s="28"/>
      <x:c r="Z62" s="28"/>
      <x:c r="AA62" s="28"/>
      <x:c r="AB62" s="42"/>
      <x:c r="AC62" s="28"/>
      <x:c r="AD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43"/>
      <x:c r="R63" s="43"/>
      <x:c r="S63" s="28"/>
      <x:c r="T63" s="28"/>
      <x:c r="U63" s="28"/>
      <x:c r="V63" s="28"/>
      <x:c r="W63" s="28"/>
      <x:c r="X63" s="28"/>
      <x:c r="Y63" s="28"/>
      <x:c r="Z63" s="28"/>
      <x:c r="AA63" s="28"/>
      <x:c r="AB63" s="42"/>
      <x:c r="AC63" s="28"/>
      <x:c r="AD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43"/>
      <x:c r="R64" s="43"/>
      <x:c r="S64" s="28"/>
      <x:c r="T64" s="28"/>
      <x:c r="U64" s="28"/>
      <x:c r="V64" s="28"/>
      <x:c r="W64" s="28"/>
      <x:c r="X64" s="28"/>
      <x:c r="Y64" s="28"/>
      <x:c r="Z64" s="28"/>
      <x:c r="AA64" s="28"/>
      <x:c r="AB64" s="42"/>
      <x:c r="AC64" s="28"/>
      <x:c r="AD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43"/>
      <x:c r="R65" s="43"/>
      <x:c r="S65" s="28"/>
      <x:c r="T65" s="28"/>
      <x:c r="U65" s="28"/>
      <x:c r="V65" s="28"/>
      <x:c r="W65" s="28"/>
      <x:c r="X65" s="28"/>
      <x:c r="Y65" s="28"/>
      <x:c r="Z65" s="28"/>
      <x:c r="AA65" s="28"/>
      <x:c r="AB65" s="42"/>
      <x:c r="AC65" s="28"/>
      <x:c r="AD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43"/>
      <x:c r="R66" s="43"/>
      <x:c r="S66" s="28"/>
      <x:c r="T66" s="28"/>
      <x:c r="U66" s="28"/>
      <x:c r="V66" s="28"/>
      <x:c r="W66" s="28"/>
      <x:c r="X66" s="28"/>
      <x:c r="Y66" s="28"/>
      <x:c r="Z66" s="28"/>
      <x:c r="AA66" s="28"/>
      <x:c r="AB66" s="42"/>
      <x:c r="AC66" s="28"/>
      <x:c r="AD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43"/>
      <x:c r="R67" s="43"/>
      <x:c r="S67" s="28"/>
      <x:c r="T67" s="28"/>
      <x:c r="U67" s="28"/>
      <x:c r="V67" s="28"/>
      <x:c r="W67" s="28"/>
      <x:c r="X67" s="28"/>
      <x:c r="Y67" s="28"/>
      <x:c r="Z67" s="28"/>
      <x:c r="AA67" s="28"/>
      <x:c r="AB67" s="42"/>
      <x:c r="AC67" s="28"/>
      <x:c r="AD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43"/>
      <x:c r="R68" s="43"/>
      <x:c r="S68" s="28"/>
      <x:c r="T68" s="28"/>
      <x:c r="U68" s="28"/>
      <x:c r="V68" s="28"/>
      <x:c r="W68" s="28"/>
      <x:c r="X68" s="28"/>
      <x:c r="Y68" s="28"/>
      <x:c r="Z68" s="28"/>
      <x:c r="AA68" s="28"/>
      <x:c r="AB68" s="42"/>
      <x:c r="AC68" s="28"/>
      <x:c r="AD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43"/>
      <x:c r="R69" s="43"/>
      <x:c r="S69" s="28"/>
      <x:c r="T69" s="28"/>
      <x:c r="U69" s="28"/>
      <x:c r="V69" s="28"/>
      <x:c r="W69" s="28"/>
      <x:c r="X69" s="28"/>
      <x:c r="Y69" s="28"/>
      <x:c r="Z69" s="28"/>
      <x:c r="AA69" s="28"/>
      <x:c r="AB69" s="42"/>
      <x:c r="AC69" s="28"/>
      <x:c r="AD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43"/>
      <x:c r="R70" s="43"/>
      <x:c r="S70" s="28"/>
      <x:c r="T70" s="28"/>
      <x:c r="U70" s="28"/>
      <x:c r="V70" s="28"/>
      <x:c r="W70" s="28"/>
      <x:c r="X70" s="28"/>
      <x:c r="Y70" s="28"/>
      <x:c r="Z70" s="28"/>
      <x:c r="AA70" s="28"/>
      <x:c r="AB70" s="42"/>
      <x:c r="AC70" s="28"/>
      <x:c r="AD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43"/>
      <x:c r="R71" s="43"/>
      <x:c r="S71" s="28"/>
      <x:c r="T71" s="28"/>
      <x:c r="U71" s="28"/>
      <x:c r="V71" s="28"/>
      <x:c r="W71" s="28"/>
      <x:c r="X71" s="28"/>
      <x:c r="Y71" s="28"/>
      <x:c r="Z71" s="28"/>
      <x:c r="AA71" s="28"/>
      <x:c r="AB71" s="42"/>
      <x:c r="AC71" s="28"/>
      <x:c r="AD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43"/>
      <x:c r="R72" s="43"/>
      <x:c r="S72" s="28"/>
      <x:c r="T72" s="28"/>
      <x:c r="U72" s="28"/>
      <x:c r="V72" s="28"/>
      <x:c r="W72" s="28"/>
      <x:c r="X72" s="28"/>
      <x:c r="Y72" s="28"/>
      <x:c r="Z72" s="28"/>
      <x:c r="AA72" s="28"/>
      <x:c r="AB72" s="42"/>
      <x:c r="AC72" s="28"/>
      <x:c r="AD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43"/>
      <x:c r="R73" s="43"/>
      <x:c r="S73" s="28"/>
      <x:c r="T73" s="28"/>
      <x:c r="U73" s="28"/>
      <x:c r="V73" s="28"/>
      <x:c r="W73" s="28"/>
      <x:c r="X73" s="28"/>
      <x:c r="Y73" s="28"/>
      <x:c r="Z73" s="28"/>
      <x:c r="AA73" s="28"/>
      <x:c r="AB73" s="42"/>
      <x:c r="AC73" s="28"/>
      <x:c r="AD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43"/>
      <x:c r="R74" s="43"/>
      <x:c r="S74" s="28"/>
      <x:c r="T74" s="28"/>
      <x:c r="U74" s="28"/>
      <x:c r="V74" s="28"/>
      <x:c r="W74" s="28"/>
      <x:c r="X74" s="28"/>
      <x:c r="Y74" s="28"/>
      <x:c r="Z74" s="28"/>
      <x:c r="AA74" s="28"/>
      <x:c r="AB74" s="42"/>
      <x:c r="AC74" s="28"/>
      <x:c r="AD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43"/>
      <x:c r="R75" s="43"/>
      <x:c r="S75" s="28"/>
      <x:c r="T75" s="28"/>
      <x:c r="U75" s="28"/>
      <x:c r="V75" s="28"/>
      <x:c r="W75" s="28"/>
      <x:c r="X75" s="28"/>
      <x:c r="Y75" s="28"/>
      <x:c r="Z75" s="28"/>
      <x:c r="AA75" s="28"/>
      <x:c r="AB75" s="42"/>
      <x:c r="AC75" s="28"/>
      <x:c r="AD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43"/>
      <x:c r="R76" s="43"/>
      <x:c r="S76" s="28"/>
      <x:c r="T76" s="28"/>
      <x:c r="U76" s="28"/>
      <x:c r="V76" s="28"/>
      <x:c r="W76" s="28"/>
      <x:c r="X76" s="28"/>
      <x:c r="Y76" s="28"/>
      <x:c r="Z76" s="28"/>
      <x:c r="AA76" s="28"/>
      <x:c r="AB76" s="42"/>
      <x:c r="AC76" s="28"/>
      <x:c r="AD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43"/>
      <x:c r="R77" s="43"/>
      <x:c r="S77" s="28"/>
      <x:c r="T77" s="28"/>
      <x:c r="U77" s="28"/>
      <x:c r="V77" s="28"/>
      <x:c r="W77" s="28"/>
      <x:c r="X77" s="28"/>
      <x:c r="Y77" s="28"/>
      <x:c r="Z77" s="28"/>
      <x:c r="AA77" s="28"/>
      <x:c r="AB77" s="42"/>
      <x:c r="AC77" s="28"/>
      <x:c r="AD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43"/>
      <x:c r="R78" s="43"/>
      <x:c r="S78" s="28"/>
      <x:c r="T78" s="28"/>
      <x:c r="U78" s="28"/>
      <x:c r="V78" s="28"/>
      <x:c r="W78" s="28"/>
      <x:c r="X78" s="28"/>
      <x:c r="Y78" s="28"/>
      <x:c r="Z78" s="28"/>
      <x:c r="AA78" s="28"/>
      <x:c r="AB78" s="42"/>
      <x:c r="AC78" s="28"/>
      <x:c r="AD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43"/>
      <x:c r="R79" s="43"/>
      <x:c r="S79" s="28"/>
      <x:c r="T79" s="28"/>
      <x:c r="U79" s="28"/>
      <x:c r="V79" s="28"/>
      <x:c r="W79" s="28"/>
      <x:c r="X79" s="28"/>
      <x:c r="Y79" s="28"/>
      <x:c r="Z79" s="28"/>
      <x:c r="AA79" s="28"/>
      <x:c r="AB79" s="42"/>
      <x:c r="AC79" s="28"/>
      <x:c r="AD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43"/>
      <x:c r="R80" s="43"/>
      <x:c r="S80" s="28"/>
      <x:c r="T80" s="28"/>
      <x:c r="U80" s="28"/>
      <x:c r="V80" s="28"/>
      <x:c r="W80" s="28"/>
      <x:c r="X80" s="28"/>
      <x:c r="Y80" s="28"/>
      <x:c r="Z80" s="28"/>
      <x:c r="AA80" s="28"/>
      <x:c r="AB80" s="42"/>
      <x:c r="AC80" s="28"/>
      <x:c r="AD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43"/>
      <x:c r="R81" s="43"/>
      <x:c r="S81" s="28"/>
      <x:c r="T81" s="28"/>
      <x:c r="U81" s="28"/>
      <x:c r="V81" s="28"/>
      <x:c r="W81" s="28"/>
      <x:c r="X81" s="28"/>
      <x:c r="Y81" s="28"/>
      <x:c r="Z81" s="28"/>
      <x:c r="AA81" s="28"/>
      <x:c r="AB81" s="42"/>
      <x:c r="AC81" s="28"/>
      <x:c r="AD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43"/>
      <x:c r="R82" s="43"/>
      <x:c r="S82" s="28"/>
      <x:c r="T82" s="28"/>
      <x:c r="U82" s="28"/>
      <x:c r="V82" s="28"/>
      <x:c r="W82" s="28"/>
      <x:c r="X82" s="28"/>
      <x:c r="Y82" s="28"/>
      <x:c r="Z82" s="28"/>
      <x:c r="AA82" s="28"/>
      <x:c r="AB82" s="42"/>
      <x:c r="AC82" s="28"/>
      <x:c r="AD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43"/>
      <x:c r="R83" s="43"/>
      <x:c r="S83" s="28"/>
      <x:c r="T83" s="28"/>
      <x:c r="U83" s="28"/>
      <x:c r="V83" s="28"/>
      <x:c r="W83" s="28"/>
      <x:c r="X83" s="28"/>
      <x:c r="Y83" s="28"/>
      <x:c r="Z83" s="28"/>
      <x:c r="AA83" s="28"/>
      <x:c r="AB83" s="42"/>
      <x:c r="AC83" s="28"/>
      <x:c r="AD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43"/>
      <x:c r="R84" s="43"/>
      <x:c r="S84" s="28"/>
      <x:c r="T84" s="28"/>
      <x:c r="U84" s="28"/>
      <x:c r="V84" s="28"/>
      <x:c r="W84" s="28"/>
      <x:c r="X84" s="28"/>
      <x:c r="Y84" s="28"/>
      <x:c r="Z84" s="28"/>
      <x:c r="AA84" s="28"/>
      <x:c r="AB84" s="42"/>
      <x:c r="AC84" s="28"/>
      <x:c r="AD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43"/>
      <x:c r="R85" s="43"/>
      <x:c r="S85" s="28"/>
      <x:c r="T85" s="28"/>
      <x:c r="U85" s="28"/>
      <x:c r="V85" s="28"/>
      <x:c r="W85" s="28"/>
      <x:c r="X85" s="28"/>
      <x:c r="Y85" s="28"/>
      <x:c r="Z85" s="28"/>
      <x:c r="AA85" s="28"/>
      <x:c r="AB85" s="42"/>
      <x:c r="AC85" s="28"/>
      <x:c r="AD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43"/>
      <x:c r="R86" s="43"/>
      <x:c r="S86" s="28"/>
      <x:c r="T86" s="28"/>
      <x:c r="U86" s="28"/>
      <x:c r="V86" s="28"/>
      <x:c r="W86" s="28"/>
      <x:c r="X86" s="28"/>
      <x:c r="Y86" s="28"/>
      <x:c r="Z86" s="28"/>
      <x:c r="AA86" s="28"/>
      <x:c r="AB86" s="42"/>
      <x:c r="AC86" s="28"/>
      <x:c r="AD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43"/>
      <x:c r="R87" s="43"/>
      <x:c r="S87" s="28"/>
      <x:c r="T87" s="28"/>
      <x:c r="U87" s="28"/>
      <x:c r="V87" s="28"/>
      <x:c r="W87" s="28"/>
      <x:c r="X87" s="28"/>
      <x:c r="Y87" s="28"/>
      <x:c r="Z87" s="28"/>
      <x:c r="AA87" s="28"/>
      <x:c r="AB87" s="42"/>
      <x:c r="AC87" s="28"/>
      <x:c r="AD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43"/>
      <x:c r="R88" s="43"/>
      <x:c r="S88" s="28"/>
      <x:c r="T88" s="28"/>
      <x:c r="U88" s="28"/>
      <x:c r="V88" s="28"/>
      <x:c r="W88" s="28"/>
      <x:c r="X88" s="28"/>
      <x:c r="Y88" s="28"/>
      <x:c r="Z88" s="28"/>
      <x:c r="AA88" s="28"/>
      <x:c r="AB88" s="42"/>
      <x:c r="AC88" s="28"/>
      <x:c r="AD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43"/>
      <x:c r="R89" s="43"/>
      <x:c r="S89" s="28"/>
      <x:c r="T89" s="28"/>
      <x:c r="U89" s="28"/>
      <x:c r="V89" s="28"/>
      <x:c r="W89" s="28"/>
      <x:c r="X89" s="28"/>
      <x:c r="Y89" s="28"/>
      <x:c r="Z89" s="28"/>
      <x:c r="AA89" s="28"/>
      <x:c r="AB89" s="42"/>
      <x:c r="AC89" s="28"/>
      <x:c r="AD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43"/>
      <x:c r="R90" s="43"/>
      <x:c r="S90" s="28"/>
      <x:c r="T90" s="28"/>
      <x:c r="U90" s="28"/>
      <x:c r="V90" s="28"/>
      <x:c r="W90" s="28"/>
      <x:c r="X90" s="28"/>
      <x:c r="Y90" s="28"/>
      <x:c r="Z90" s="28"/>
      <x:c r="AA90" s="28"/>
      <x:c r="AB90" s="42"/>
      <x:c r="AC90" s="28"/>
      <x:c r="AD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43"/>
      <x:c r="R91" s="43"/>
      <x:c r="S91" s="28"/>
      <x:c r="T91" s="28"/>
      <x:c r="U91" s="28"/>
      <x:c r="V91" s="28"/>
      <x:c r="W91" s="28"/>
      <x:c r="X91" s="28"/>
      <x:c r="Y91" s="28"/>
      <x:c r="Z91" s="28"/>
      <x:c r="AA91" s="28"/>
      <x:c r="AB91" s="42"/>
      <x:c r="AC91" s="28"/>
      <x:c r="AD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43"/>
      <x:c r="R92" s="43"/>
      <x:c r="S92" s="28"/>
      <x:c r="T92" s="28"/>
      <x:c r="U92" s="28"/>
      <x:c r="V92" s="28"/>
      <x:c r="W92" s="28"/>
      <x:c r="X92" s="28"/>
      <x:c r="Y92" s="28"/>
      <x:c r="Z92" s="28"/>
      <x:c r="AA92" s="28"/>
      <x:c r="AB92" s="42"/>
      <x:c r="AC92" s="28"/>
      <x:c r="AD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43"/>
      <x:c r="R93" s="43"/>
      <x:c r="S93" s="28"/>
      <x:c r="T93" s="28"/>
      <x:c r="U93" s="28"/>
      <x:c r="V93" s="28"/>
      <x:c r="W93" s="28"/>
      <x:c r="X93" s="28"/>
      <x:c r="Y93" s="28"/>
      <x:c r="Z93" s="28"/>
      <x:c r="AA93" s="28"/>
      <x:c r="AB93" s="42"/>
      <x:c r="AC93" s="28"/>
      <x:c r="AD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43"/>
      <x:c r="R94" s="43"/>
      <x:c r="S94" s="28"/>
      <x:c r="T94" s="28"/>
      <x:c r="U94" s="28"/>
      <x:c r="V94" s="28"/>
      <x:c r="W94" s="28"/>
      <x:c r="X94" s="28"/>
      <x:c r="Y94" s="28"/>
      <x:c r="Z94" s="28"/>
      <x:c r="AA94" s="28"/>
      <x:c r="AB94" s="42"/>
      <x:c r="AC94" s="28"/>
      <x:c r="AD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43"/>
      <x:c r="R95" s="43"/>
      <x:c r="S95" s="28"/>
      <x:c r="T95" s="28"/>
      <x:c r="U95" s="28"/>
      <x:c r="V95" s="28"/>
      <x:c r="W95" s="28"/>
      <x:c r="X95" s="28"/>
      <x:c r="Y95" s="28"/>
      <x:c r="Z95" s="28"/>
      <x:c r="AA95" s="28"/>
      <x:c r="AB95" s="42"/>
      <x:c r="AC95" s="28"/>
      <x:c r="AD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43"/>
      <x:c r="R96" s="43"/>
      <x:c r="S96" s="28"/>
      <x:c r="T96" s="28"/>
      <x:c r="U96" s="28"/>
      <x:c r="V96" s="28"/>
      <x:c r="W96" s="28"/>
      <x:c r="X96" s="28"/>
      <x:c r="Y96" s="28"/>
      <x:c r="Z96" s="28"/>
      <x:c r="AA96" s="28"/>
      <x:c r="AB96" s="42"/>
      <x:c r="AC96" s="28"/>
      <x:c r="AD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43"/>
      <x:c r="R97" s="43"/>
      <x:c r="S97" s="28"/>
      <x:c r="T97" s="28"/>
      <x:c r="U97" s="28"/>
      <x:c r="V97" s="28"/>
      <x:c r="W97" s="28"/>
      <x:c r="X97" s="28"/>
      <x:c r="Y97" s="28"/>
      <x:c r="Z97" s="28"/>
      <x:c r="AA97" s="28"/>
      <x:c r="AB97" s="42"/>
      <x:c r="AC97" s="28"/>
      <x:c r="AD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43"/>
      <x:c r="R98" s="43"/>
      <x:c r="S98" s="28"/>
      <x:c r="T98" s="28"/>
      <x:c r="U98" s="28"/>
      <x:c r="V98" s="28"/>
      <x:c r="W98" s="28"/>
      <x:c r="X98" s="28"/>
      <x:c r="Y98" s="28"/>
      <x:c r="Z98" s="28"/>
      <x:c r="AA98" s="28"/>
      <x:c r="AB98" s="42"/>
      <x:c r="AC98" s="28"/>
      <x:c r="AD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43"/>
      <x:c r="R99" s="43"/>
      <x:c r="S99" s="28"/>
      <x:c r="T99" s="28"/>
      <x:c r="U99" s="28"/>
      <x:c r="V99" s="28"/>
      <x:c r="W99" s="28"/>
      <x:c r="X99" s="28"/>
      <x:c r="Y99" s="28"/>
      <x:c r="Z99" s="28"/>
      <x:c r="AA99" s="28"/>
      <x:c r="AB99" s="42"/>
      <x:c r="AC99" s="28"/>
      <x:c r="AD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43"/>
      <x:c r="R100" s="43"/>
      <x:c r="S100" s="28"/>
      <x:c r="T100" s="28"/>
      <x:c r="U100" s="28"/>
      <x:c r="V100" s="28"/>
      <x:c r="W100" s="28"/>
      <x:c r="X100" s="28"/>
      <x:c r="Y100" s="28"/>
      <x:c r="Z100" s="28"/>
      <x:c r="AA100" s="28"/>
      <x:c r="AB100" s="42"/>
      <x:c r="AC100" s="28"/>
      <x:c r="AD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43"/>
      <x:c r="R101" s="43"/>
      <x:c r="S101" s="28"/>
      <x:c r="T101" s="28"/>
      <x:c r="U101" s="28"/>
      <x:c r="V101" s="28"/>
      <x:c r="W101" s="28"/>
      <x:c r="X101" s="28"/>
      <x:c r="Y101" s="28"/>
      <x:c r="Z101" s="28"/>
      <x:c r="AA101" s="28"/>
      <x:c r="AB101" s="42"/>
      <x:c r="AC101" s="28"/>
      <x:c r="AD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43"/>
      <x:c r="R102" s="43"/>
      <x:c r="S102" s="28"/>
      <x:c r="T102" s="28"/>
      <x:c r="U102" s="28"/>
      <x:c r="V102" s="28"/>
      <x:c r="W102" s="28"/>
      <x:c r="X102" s="28"/>
      <x:c r="Y102" s="28"/>
      <x:c r="Z102" s="28"/>
      <x:c r="AA102" s="28"/>
      <x:c r="AB102" s="42"/>
      <x:c r="AC102" s="28"/>
      <x:c r="AD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43"/>
      <x:c r="R103" s="43"/>
      <x:c r="S103" s="28"/>
      <x:c r="T103" s="28"/>
      <x:c r="U103" s="28"/>
      <x:c r="V103" s="28"/>
      <x:c r="W103" s="28"/>
      <x:c r="X103" s="28"/>
      <x:c r="Y103" s="28"/>
      <x:c r="Z103" s="28"/>
      <x:c r="AA103" s="28"/>
      <x:c r="AB103" s="42"/>
      <x:c r="AC103" s="28"/>
      <x:c r="AD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43"/>
      <x:c r="R104" s="43"/>
      <x:c r="S104" s="28"/>
      <x:c r="T104" s="28"/>
      <x:c r="U104" s="28"/>
      <x:c r="V104" s="28"/>
      <x:c r="W104" s="28"/>
      <x:c r="X104" s="28"/>
      <x:c r="Y104" s="28"/>
      <x:c r="Z104" s="28"/>
      <x:c r="AA104" s="28"/>
      <x:c r="AB104" s="42"/>
      <x:c r="AC104" s="28"/>
      <x:c r="AD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43"/>
      <x:c r="R105" s="43"/>
      <x:c r="S105" s="28"/>
      <x:c r="T105" s="28"/>
      <x:c r="U105" s="28"/>
      <x:c r="V105" s="28"/>
      <x:c r="W105" s="28"/>
      <x:c r="X105" s="28"/>
      <x:c r="Y105" s="28"/>
      <x:c r="Z105" s="28"/>
      <x:c r="AA105" s="28"/>
      <x:c r="AB105" s="42"/>
      <x:c r="AC105" s="28"/>
      <x:c r="AD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43"/>
      <x:c r="R106" s="43"/>
      <x:c r="S106" s="28"/>
      <x:c r="T106" s="28"/>
      <x:c r="U106" s="28"/>
      <x:c r="V106" s="28"/>
      <x:c r="W106" s="28"/>
      <x:c r="X106" s="28"/>
      <x:c r="Y106" s="28"/>
      <x:c r="Z106" s="28"/>
      <x:c r="AA106" s="28"/>
      <x:c r="AB106" s="42"/>
      <x:c r="AC106" s="28"/>
      <x:c r="AD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43"/>
      <x:c r="R107" s="43"/>
      <x:c r="S107" s="28"/>
      <x:c r="T107" s="28"/>
      <x:c r="U107" s="28"/>
      <x:c r="V107" s="28"/>
      <x:c r="W107" s="28"/>
      <x:c r="X107" s="28"/>
      <x:c r="Y107" s="28"/>
      <x:c r="Z107" s="28"/>
      <x:c r="AA107" s="28"/>
      <x:c r="AB107" s="42"/>
      <x:c r="AC107" s="28"/>
      <x:c r="AD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43"/>
      <x:c r="R108" s="43"/>
      <x:c r="S108" s="28"/>
      <x:c r="T108" s="28"/>
      <x:c r="U108" s="28"/>
      <x:c r="V108" s="28"/>
      <x:c r="W108" s="28"/>
      <x:c r="X108" s="28"/>
      <x:c r="Y108" s="28"/>
      <x:c r="Z108" s="28"/>
      <x:c r="AA108" s="28"/>
      <x:c r="AB108" s="42"/>
      <x:c r="AC108" s="28"/>
      <x:c r="AD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43"/>
      <x:c r="R109" s="43"/>
      <x:c r="S109" s="28"/>
      <x:c r="T109" s="28"/>
      <x:c r="U109" s="28"/>
      <x:c r="V109" s="28"/>
      <x:c r="W109" s="28"/>
      <x:c r="X109" s="28"/>
      <x:c r="Y109" s="28"/>
      <x:c r="Z109" s="28"/>
      <x:c r="AA109" s="28"/>
      <x:c r="AB109" s="42"/>
      <x:c r="AC109" s="28"/>
      <x:c r="AD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43"/>
      <x:c r="R110" s="43"/>
      <x:c r="S110" s="28"/>
      <x:c r="T110" s="28"/>
      <x:c r="U110" s="28"/>
      <x:c r="V110" s="28"/>
      <x:c r="W110" s="28"/>
      <x:c r="X110" s="28"/>
      <x:c r="Y110" s="28"/>
      <x:c r="Z110" s="28"/>
      <x:c r="AA110" s="28"/>
      <x:c r="AB110" s="42"/>
      <x:c r="AC110" s="28"/>
      <x:c r="AD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43"/>
      <x:c r="R111" s="43"/>
      <x:c r="S111" s="28"/>
      <x:c r="T111" s="28"/>
      <x:c r="U111" s="28"/>
      <x:c r="V111" s="28"/>
      <x:c r="W111" s="28"/>
      <x:c r="X111" s="28"/>
      <x:c r="Y111" s="28"/>
      <x:c r="Z111" s="28"/>
      <x:c r="AA111" s="28"/>
      <x:c r="AB111" s="42"/>
      <x:c r="AC111" s="28"/>
      <x:c r="AD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43"/>
      <x:c r="R112" s="43"/>
      <x:c r="S112" s="28"/>
      <x:c r="T112" s="28"/>
      <x:c r="U112" s="28"/>
      <x:c r="V112" s="28"/>
      <x:c r="W112" s="28"/>
      <x:c r="X112" s="28"/>
      <x:c r="Y112" s="28"/>
      <x:c r="Z112" s="28"/>
      <x:c r="AA112" s="28"/>
      <x:c r="AB112" s="42"/>
      <x:c r="AC112" s="28"/>
      <x:c r="AD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43"/>
      <x:c r="R113" s="43"/>
      <x:c r="S113" s="28"/>
      <x:c r="T113" s="28"/>
      <x:c r="U113" s="28"/>
      <x:c r="V113" s="28"/>
      <x:c r="W113" s="28"/>
      <x:c r="X113" s="28"/>
      <x:c r="Y113" s="28"/>
      <x:c r="Z113" s="28"/>
      <x:c r="AA113" s="28"/>
      <x:c r="AB113" s="42"/>
      <x:c r="AC113" s="28"/>
      <x:c r="AD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43"/>
      <x:c r="R114" s="43"/>
      <x:c r="S114" s="28"/>
      <x:c r="T114" s="28"/>
      <x:c r="U114" s="28"/>
      <x:c r="V114" s="28"/>
      <x:c r="W114" s="28"/>
      <x:c r="X114" s="28"/>
      <x:c r="Y114" s="28"/>
      <x:c r="Z114" s="28"/>
      <x:c r="AA114" s="28"/>
      <x:c r="AB114" s="42"/>
      <x:c r="AC114" s="28"/>
      <x:c r="AD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43"/>
      <x:c r="R115" s="43"/>
      <x:c r="S115" s="28"/>
      <x:c r="T115" s="28"/>
      <x:c r="U115" s="28"/>
      <x:c r="V115" s="28"/>
      <x:c r="W115" s="28"/>
      <x:c r="X115" s="28"/>
      <x:c r="Y115" s="28"/>
      <x:c r="Z115" s="28"/>
      <x:c r="AA115" s="28"/>
      <x:c r="AB115" s="42"/>
      <x:c r="AC115" s="28"/>
      <x:c r="AD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43"/>
      <x:c r="R116" s="43"/>
      <x:c r="S116" s="28"/>
      <x:c r="T116" s="28"/>
      <x:c r="U116" s="28"/>
      <x:c r="V116" s="28"/>
      <x:c r="W116" s="28"/>
      <x:c r="X116" s="28"/>
      <x:c r="Y116" s="28"/>
      <x:c r="Z116" s="28"/>
      <x:c r="AA116" s="28"/>
      <x:c r="AB116" s="42"/>
      <x:c r="AC116" s="28"/>
      <x:c r="AD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43"/>
      <x:c r="R117" s="43"/>
      <x:c r="S117" s="28"/>
      <x:c r="T117" s="28"/>
      <x:c r="U117" s="28"/>
      <x:c r="V117" s="28"/>
      <x:c r="W117" s="28"/>
      <x:c r="X117" s="28"/>
      <x:c r="Y117" s="28"/>
      <x:c r="Z117" s="28"/>
      <x:c r="AA117" s="28"/>
      <x:c r="AB117" s="42"/>
      <x:c r="AC117" s="28"/>
      <x:c r="AD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43"/>
      <x:c r="R118" s="43"/>
      <x:c r="S118" s="28"/>
      <x:c r="T118" s="28"/>
      <x:c r="U118" s="28"/>
      <x:c r="V118" s="28"/>
      <x:c r="W118" s="28"/>
      <x:c r="X118" s="28"/>
      <x:c r="Y118" s="28"/>
      <x:c r="Z118" s="28"/>
      <x:c r="AA118" s="28"/>
      <x:c r="AB118" s="42"/>
      <x:c r="AC118" s="28"/>
      <x:c r="AD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43"/>
      <x:c r="R119" s="43"/>
      <x:c r="S119" s="28"/>
      <x:c r="T119" s="28"/>
      <x:c r="U119" s="28"/>
      <x:c r="V119" s="28"/>
      <x:c r="W119" s="28"/>
      <x:c r="X119" s="28"/>
      <x:c r="Y119" s="28"/>
      <x:c r="Z119" s="28"/>
      <x:c r="AA119" s="28"/>
      <x:c r="AB119" s="42"/>
      <x:c r="AC119" s="28"/>
      <x:c r="AD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43"/>
      <x:c r="R120" s="43"/>
      <x:c r="S120" s="28"/>
      <x:c r="T120" s="28"/>
      <x:c r="U120" s="28"/>
      <x:c r="V120" s="28"/>
      <x:c r="W120" s="28"/>
      <x:c r="X120" s="28"/>
      <x:c r="Y120" s="28"/>
      <x:c r="Z120" s="28"/>
      <x:c r="AA120" s="28"/>
      <x:c r="AB120" s="42"/>
      <x:c r="AC120" s="28"/>
      <x:c r="AD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43"/>
      <x:c r="R121" s="43"/>
      <x:c r="S121" s="28"/>
      <x:c r="T121" s="28"/>
      <x:c r="U121" s="28"/>
      <x:c r="V121" s="28"/>
      <x:c r="W121" s="28"/>
      <x:c r="X121" s="28"/>
      <x:c r="Y121" s="28"/>
      <x:c r="Z121" s="28"/>
      <x:c r="AA121" s="28"/>
      <x:c r="AB121" s="42"/>
      <x:c r="AC121" s="28"/>
      <x:c r="AD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43"/>
      <x:c r="R122" s="43"/>
      <x:c r="S122" s="28"/>
      <x:c r="T122" s="28"/>
      <x:c r="U122" s="28"/>
      <x:c r="V122" s="28"/>
      <x:c r="W122" s="28"/>
      <x:c r="X122" s="28"/>
      <x:c r="Y122" s="28"/>
      <x:c r="Z122" s="28"/>
      <x:c r="AA122" s="28"/>
      <x:c r="AB122" s="42"/>
      <x:c r="AC122" s="28"/>
      <x:c r="AD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43"/>
      <x:c r="R123" s="43"/>
      <x:c r="S123" s="28"/>
      <x:c r="T123" s="28"/>
      <x:c r="U123" s="28"/>
      <x:c r="V123" s="28"/>
      <x:c r="W123" s="28"/>
      <x:c r="X123" s="28"/>
      <x:c r="Y123" s="28"/>
      <x:c r="Z123" s="28"/>
      <x:c r="AA123" s="28"/>
      <x:c r="AB123" s="42"/>
      <x:c r="AC123" s="28"/>
      <x:c r="AD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43"/>
      <x:c r="R124" s="43"/>
      <x:c r="S124" s="28"/>
      <x:c r="T124" s="28"/>
      <x:c r="U124" s="28"/>
      <x:c r="V124" s="28"/>
      <x:c r="W124" s="28"/>
      <x:c r="X124" s="28"/>
      <x:c r="Y124" s="28"/>
      <x:c r="Z124" s="28"/>
      <x:c r="AA124" s="28"/>
      <x:c r="AB124" s="42"/>
      <x:c r="AC124" s="28"/>
      <x:c r="AD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43"/>
      <x:c r="R125" s="43"/>
      <x:c r="S125" s="28"/>
      <x:c r="T125" s="28"/>
      <x:c r="U125" s="28"/>
      <x:c r="V125" s="28"/>
      <x:c r="W125" s="28"/>
      <x:c r="X125" s="28"/>
      <x:c r="Y125" s="28"/>
      <x:c r="Z125" s="28"/>
      <x:c r="AA125" s="28"/>
      <x:c r="AB125" s="42"/>
      <x:c r="AC125" s="28"/>
      <x:c r="AD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43"/>
      <x:c r="R126" s="43"/>
      <x:c r="S126" s="28"/>
      <x:c r="T126" s="28"/>
      <x:c r="U126" s="28"/>
      <x:c r="V126" s="28"/>
      <x:c r="W126" s="28"/>
      <x:c r="X126" s="28"/>
      <x:c r="Y126" s="28"/>
      <x:c r="Z126" s="28"/>
      <x:c r="AA126" s="28"/>
      <x:c r="AB126" s="42"/>
      <x:c r="AC126" s="28"/>
      <x:c r="AD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43"/>
      <x:c r="R127" s="43"/>
      <x:c r="S127" s="28"/>
      <x:c r="T127" s="28"/>
      <x:c r="U127" s="28"/>
      <x:c r="V127" s="28"/>
      <x:c r="W127" s="28"/>
      <x:c r="X127" s="28"/>
      <x:c r="Y127" s="28"/>
      <x:c r="Z127" s="28"/>
      <x:c r="AA127" s="28"/>
      <x:c r="AB127" s="42"/>
      <x:c r="AC127" s="28"/>
      <x:c r="AD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43"/>
      <x:c r="R128" s="43"/>
      <x:c r="S128" s="28"/>
      <x:c r="T128" s="28"/>
      <x:c r="U128" s="28"/>
      <x:c r="V128" s="28"/>
      <x:c r="W128" s="28"/>
      <x:c r="X128" s="28"/>
      <x:c r="Y128" s="28"/>
      <x:c r="Z128" s="28"/>
      <x:c r="AA128" s="28"/>
      <x:c r="AB128" s="42"/>
      <x:c r="AC128" s="28"/>
      <x:c r="AD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43"/>
      <x:c r="R129" s="43"/>
      <x:c r="S129" s="28"/>
      <x:c r="T129" s="28"/>
      <x:c r="U129" s="28"/>
      <x:c r="V129" s="28"/>
      <x:c r="W129" s="28"/>
      <x:c r="X129" s="28"/>
      <x:c r="Y129" s="28"/>
      <x:c r="Z129" s="28"/>
      <x:c r="AA129" s="28"/>
      <x:c r="AB129" s="42"/>
      <x:c r="AC129" s="28"/>
      <x:c r="AD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43"/>
      <x:c r="R130" s="43"/>
      <x:c r="S130" s="28"/>
      <x:c r="T130" s="28"/>
      <x:c r="U130" s="28"/>
      <x:c r="V130" s="28"/>
      <x:c r="W130" s="28"/>
      <x:c r="X130" s="28"/>
      <x:c r="Y130" s="28"/>
      <x:c r="Z130" s="28"/>
      <x:c r="AA130" s="28"/>
      <x:c r="AB130" s="42"/>
      <x:c r="AC130" s="28"/>
      <x:c r="AD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43"/>
      <x:c r="R131" s="43"/>
      <x:c r="S131" s="28"/>
      <x:c r="T131" s="28"/>
      <x:c r="U131" s="28"/>
      <x:c r="V131" s="28"/>
      <x:c r="W131" s="28"/>
      <x:c r="X131" s="28"/>
      <x:c r="Y131" s="28"/>
      <x:c r="Z131" s="28"/>
      <x:c r="AA131" s="28"/>
      <x:c r="AB131" s="42"/>
      <x:c r="AC131" s="28"/>
      <x:c r="AD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43"/>
      <x:c r="R132" s="43"/>
      <x:c r="S132" s="28"/>
      <x:c r="T132" s="28"/>
      <x:c r="U132" s="28"/>
      <x:c r="V132" s="28"/>
      <x:c r="W132" s="28"/>
      <x:c r="X132" s="28"/>
      <x:c r="Y132" s="28"/>
      <x:c r="Z132" s="28"/>
      <x:c r="AA132" s="28"/>
      <x:c r="AB132" s="42"/>
      <x:c r="AC132" s="28"/>
      <x:c r="AD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43"/>
      <x:c r="R133" s="43"/>
      <x:c r="S133" s="28"/>
      <x:c r="T133" s="28"/>
      <x:c r="U133" s="28"/>
      <x:c r="V133" s="28"/>
      <x:c r="W133" s="28"/>
      <x:c r="X133" s="28"/>
      <x:c r="Y133" s="28"/>
      <x:c r="Z133" s="28"/>
      <x:c r="AA133" s="28"/>
      <x:c r="AB133" s="42"/>
      <x:c r="AC133" s="28"/>
      <x:c r="AD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43"/>
      <x:c r="R134" s="43"/>
      <x:c r="S134" s="28"/>
      <x:c r="T134" s="28"/>
      <x:c r="U134" s="28"/>
      <x:c r="V134" s="28"/>
      <x:c r="W134" s="28"/>
      <x:c r="X134" s="28"/>
      <x:c r="Y134" s="28"/>
      <x:c r="Z134" s="28"/>
      <x:c r="AA134" s="28"/>
      <x:c r="AB134" s="42"/>
      <x:c r="AC134" s="28"/>
      <x:c r="AD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43"/>
      <x:c r="R135" s="43"/>
      <x:c r="S135" s="28"/>
      <x:c r="T135" s="28"/>
      <x:c r="U135" s="28"/>
      <x:c r="V135" s="28"/>
      <x:c r="W135" s="28"/>
      <x:c r="X135" s="28"/>
      <x:c r="Y135" s="28"/>
      <x:c r="Z135" s="28"/>
      <x:c r="AA135" s="28"/>
      <x:c r="AB135" s="42"/>
      <x:c r="AC135" s="28"/>
      <x:c r="AD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43"/>
      <x:c r="R136" s="43"/>
      <x:c r="S136" s="28"/>
      <x:c r="T136" s="28"/>
      <x:c r="U136" s="28"/>
      <x:c r="V136" s="28"/>
      <x:c r="W136" s="28"/>
      <x:c r="X136" s="28"/>
      <x:c r="Y136" s="28"/>
      <x:c r="Z136" s="28"/>
      <x:c r="AA136" s="28"/>
      <x:c r="AB136" s="42"/>
      <x:c r="AC136" s="28"/>
      <x:c r="AD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43"/>
      <x:c r="R137" s="43"/>
      <x:c r="S137" s="28"/>
      <x:c r="T137" s="28"/>
      <x:c r="U137" s="28"/>
      <x:c r="V137" s="28"/>
      <x:c r="W137" s="28"/>
      <x:c r="X137" s="28"/>
      <x:c r="Y137" s="28"/>
      <x:c r="Z137" s="28"/>
      <x:c r="AA137" s="28"/>
      <x:c r="AB137" s="42"/>
      <x:c r="AC137" s="28"/>
      <x:c r="AD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43"/>
      <x:c r="R138" s="43"/>
      <x:c r="S138" s="28"/>
      <x:c r="T138" s="28"/>
      <x:c r="U138" s="28"/>
      <x:c r="V138" s="28"/>
      <x:c r="W138" s="28"/>
      <x:c r="X138" s="28"/>
      <x:c r="Y138" s="28"/>
      <x:c r="Z138" s="28"/>
      <x:c r="AA138" s="28"/>
      <x:c r="AB138" s="42"/>
      <x:c r="AC138" s="28"/>
      <x:c r="AD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43"/>
      <x:c r="R139" s="43"/>
      <x:c r="S139" s="28"/>
      <x:c r="T139" s="28"/>
      <x:c r="U139" s="28"/>
      <x:c r="V139" s="28"/>
      <x:c r="W139" s="28"/>
      <x:c r="X139" s="28"/>
      <x:c r="Y139" s="28"/>
      <x:c r="Z139" s="28"/>
      <x:c r="AA139" s="28"/>
      <x:c r="AB139" s="42"/>
      <x:c r="AC139" s="28"/>
      <x:c r="AD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43"/>
      <x:c r="R140" s="43"/>
      <x:c r="S140" s="28"/>
      <x:c r="T140" s="28"/>
      <x:c r="U140" s="28"/>
      <x:c r="V140" s="28"/>
      <x:c r="W140" s="28"/>
      <x:c r="X140" s="28"/>
      <x:c r="Y140" s="28"/>
      <x:c r="Z140" s="28"/>
      <x:c r="AA140" s="28"/>
      <x:c r="AB140" s="42"/>
      <x:c r="AC140" s="28"/>
      <x:c r="AD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43"/>
      <x:c r="R141" s="43"/>
      <x:c r="S141" s="28"/>
      <x:c r="T141" s="28"/>
      <x:c r="U141" s="28"/>
      <x:c r="V141" s="28"/>
      <x:c r="W141" s="28"/>
      <x:c r="X141" s="28"/>
      <x:c r="Y141" s="28"/>
      <x:c r="Z141" s="28"/>
      <x:c r="AA141" s="28"/>
      <x:c r="AB141" s="42"/>
      <x:c r="AC141" s="28"/>
      <x:c r="AD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43"/>
      <x:c r="R142" s="43"/>
      <x:c r="S142" s="28"/>
      <x:c r="T142" s="28"/>
      <x:c r="U142" s="28"/>
      <x:c r="V142" s="28"/>
      <x:c r="W142" s="28"/>
      <x:c r="X142" s="28"/>
      <x:c r="Y142" s="28"/>
      <x:c r="Z142" s="28"/>
      <x:c r="AA142" s="28"/>
      <x:c r="AB142" s="42"/>
      <x:c r="AC142" s="28"/>
      <x:c r="AD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43"/>
      <x:c r="R143" s="43"/>
      <x:c r="S143" s="28"/>
      <x:c r="T143" s="28"/>
      <x:c r="U143" s="28"/>
      <x:c r="V143" s="28"/>
      <x:c r="W143" s="28"/>
      <x:c r="X143" s="28"/>
      <x:c r="Y143" s="28"/>
      <x:c r="Z143" s="28"/>
      <x:c r="AA143" s="28"/>
      <x:c r="AB143" s="42"/>
      <x:c r="AC143" s="28"/>
      <x:c r="AD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43"/>
      <x:c r="R144" s="43"/>
      <x:c r="S144" s="28"/>
      <x:c r="T144" s="28"/>
      <x:c r="U144" s="28"/>
      <x:c r="V144" s="28"/>
      <x:c r="W144" s="28"/>
      <x:c r="X144" s="28"/>
      <x:c r="Y144" s="28"/>
      <x:c r="Z144" s="28"/>
      <x:c r="AA144" s="28"/>
      <x:c r="AB144" s="42"/>
      <x:c r="AC144" s="28"/>
      <x:c r="AD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43"/>
      <x:c r="R145" s="43"/>
      <x:c r="S145" s="28"/>
      <x:c r="T145" s="28"/>
      <x:c r="U145" s="28"/>
      <x:c r="V145" s="28"/>
      <x:c r="W145" s="28"/>
      <x:c r="X145" s="28"/>
      <x:c r="Y145" s="28"/>
      <x:c r="Z145" s="28"/>
      <x:c r="AA145" s="28"/>
      <x:c r="AB145" s="42"/>
      <x:c r="AC145" s="28"/>
      <x:c r="AD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43"/>
      <x:c r="R146" s="43"/>
      <x:c r="S146" s="28"/>
      <x:c r="T146" s="28"/>
      <x:c r="U146" s="28"/>
      <x:c r="V146" s="28"/>
      <x:c r="W146" s="28"/>
      <x:c r="X146" s="28"/>
      <x:c r="Y146" s="28"/>
      <x:c r="Z146" s="28"/>
      <x:c r="AA146" s="28"/>
      <x:c r="AB146" s="42"/>
      <x:c r="AC146" s="28"/>
      <x:c r="AD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43"/>
      <x:c r="R147" s="43"/>
      <x:c r="S147" s="28"/>
      <x:c r="T147" s="28"/>
      <x:c r="U147" s="28"/>
      <x:c r="V147" s="28"/>
      <x:c r="W147" s="28"/>
      <x:c r="X147" s="28"/>
      <x:c r="Y147" s="28"/>
      <x:c r="Z147" s="28"/>
      <x:c r="AA147" s="28"/>
      <x:c r="AB147" s="42"/>
      <x:c r="AC147" s="28"/>
      <x:c r="AD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43"/>
      <x:c r="R148" s="43"/>
      <x:c r="S148" s="28"/>
      <x:c r="T148" s="28"/>
      <x:c r="U148" s="28"/>
      <x:c r="V148" s="28"/>
      <x:c r="W148" s="28"/>
      <x:c r="X148" s="28"/>
      <x:c r="Y148" s="28"/>
      <x:c r="Z148" s="28"/>
      <x:c r="AA148" s="28"/>
      <x:c r="AB148" s="42"/>
      <x:c r="AC148" s="28"/>
      <x:c r="AD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43"/>
      <x:c r="R149" s="43"/>
      <x:c r="S149" s="28"/>
      <x:c r="T149" s="28"/>
      <x:c r="U149" s="28"/>
      <x:c r="V149" s="28"/>
      <x:c r="W149" s="28"/>
      <x:c r="X149" s="28"/>
      <x:c r="Y149" s="28"/>
      <x:c r="Z149" s="28"/>
      <x:c r="AA149" s="28"/>
      <x:c r="AB149" s="42"/>
      <x:c r="AC149" s="28"/>
      <x:c r="AD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43"/>
      <x:c r="R150" s="43"/>
      <x:c r="S150" s="28"/>
      <x:c r="T150" s="28"/>
      <x:c r="U150" s="28"/>
      <x:c r="V150" s="28"/>
      <x:c r="W150" s="28"/>
      <x:c r="X150" s="28"/>
      <x:c r="Y150" s="28"/>
      <x:c r="Z150" s="28"/>
      <x:c r="AA150" s="28"/>
      <x:c r="AB150" s="42"/>
      <x:c r="AC150" s="28"/>
      <x:c r="AD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43"/>
      <x:c r="R151" s="43"/>
      <x:c r="S151" s="28"/>
      <x:c r="T151" s="28"/>
      <x:c r="U151" s="28"/>
      <x:c r="V151" s="28"/>
      <x:c r="W151" s="28"/>
      <x:c r="X151" s="28"/>
      <x:c r="Y151" s="28"/>
      <x:c r="Z151" s="28"/>
      <x:c r="AA151" s="28"/>
      <x:c r="AB151" s="42"/>
      <x:c r="AC151" s="28"/>
      <x:c r="AD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43"/>
      <x:c r="R152" s="43"/>
      <x:c r="S152" s="28"/>
      <x:c r="T152" s="28"/>
      <x:c r="U152" s="28"/>
      <x:c r="V152" s="28"/>
      <x:c r="W152" s="28"/>
      <x:c r="X152" s="28"/>
      <x:c r="Y152" s="28"/>
      <x:c r="Z152" s="28"/>
      <x:c r="AA152" s="28"/>
      <x:c r="AB152" s="42"/>
      <x:c r="AC152" s="28"/>
      <x:c r="AD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43"/>
      <x:c r="R153" s="43"/>
      <x:c r="S153" s="28"/>
      <x:c r="T153" s="28"/>
      <x:c r="U153" s="28"/>
      <x:c r="V153" s="28"/>
      <x:c r="W153" s="28"/>
      <x:c r="X153" s="28"/>
      <x:c r="Y153" s="28"/>
      <x:c r="Z153" s="28"/>
      <x:c r="AA153" s="28"/>
      <x:c r="AB153" s="42"/>
      <x:c r="AC153" s="28"/>
      <x:c r="AD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43"/>
      <x:c r="R154" s="43"/>
      <x:c r="S154" s="28"/>
      <x:c r="T154" s="28"/>
      <x:c r="U154" s="28"/>
      <x:c r="V154" s="28"/>
      <x:c r="W154" s="28"/>
      <x:c r="X154" s="28"/>
      <x:c r="Y154" s="28"/>
      <x:c r="Z154" s="28"/>
      <x:c r="AA154" s="28"/>
      <x:c r="AB154" s="42"/>
      <x:c r="AC154" s="28"/>
      <x:c r="AD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43"/>
      <x:c r="R155" s="43"/>
      <x:c r="S155" s="28"/>
      <x:c r="T155" s="28"/>
      <x:c r="U155" s="28"/>
      <x:c r="V155" s="28"/>
      <x:c r="W155" s="28"/>
      <x:c r="X155" s="28"/>
      <x:c r="Y155" s="28"/>
      <x:c r="Z155" s="28"/>
      <x:c r="AA155" s="28"/>
      <x:c r="AB155" s="42"/>
      <x:c r="AC155" s="28"/>
      <x:c r="AD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43"/>
      <x:c r="R156" s="43"/>
      <x:c r="S156" s="28"/>
      <x:c r="T156" s="28"/>
      <x:c r="U156" s="28"/>
      <x:c r="V156" s="28"/>
      <x:c r="W156" s="28"/>
      <x:c r="X156" s="28"/>
      <x:c r="Y156" s="28"/>
      <x:c r="Z156" s="28"/>
      <x:c r="AA156" s="28"/>
      <x:c r="AB156" s="42"/>
      <x:c r="AC156" s="28"/>
      <x:c r="AD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43"/>
      <x:c r="R157" s="43"/>
      <x:c r="S157" s="28"/>
      <x:c r="T157" s="28"/>
      <x:c r="U157" s="28"/>
      <x:c r="V157" s="28"/>
      <x:c r="W157" s="28"/>
      <x:c r="X157" s="28"/>
      <x:c r="Y157" s="28"/>
      <x:c r="Z157" s="28"/>
      <x:c r="AA157" s="28"/>
      <x:c r="AB157" s="42"/>
      <x:c r="AC157" s="28"/>
      <x:c r="AD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43"/>
      <x:c r="R158" s="43"/>
      <x:c r="S158" s="28"/>
      <x:c r="T158" s="28"/>
      <x:c r="U158" s="28"/>
      <x:c r="V158" s="28"/>
      <x:c r="W158" s="28"/>
      <x:c r="X158" s="28"/>
      <x:c r="Y158" s="28"/>
      <x:c r="Z158" s="28"/>
      <x:c r="AA158" s="28"/>
      <x:c r="AB158" s="42"/>
      <x:c r="AC158" s="28"/>
      <x:c r="AD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43"/>
      <x:c r="R159" s="43"/>
      <x:c r="S159" s="28"/>
      <x:c r="T159" s="28"/>
      <x:c r="U159" s="28"/>
      <x:c r="V159" s="28"/>
      <x:c r="W159" s="28"/>
      <x:c r="X159" s="28"/>
      <x:c r="Y159" s="28"/>
      <x:c r="Z159" s="28"/>
      <x:c r="AA159" s="28"/>
      <x:c r="AB159" s="42"/>
      <x:c r="AC159" s="28"/>
      <x:c r="AD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43"/>
      <x:c r="R160" s="43"/>
      <x:c r="S160" s="28"/>
      <x:c r="T160" s="28"/>
      <x:c r="U160" s="28"/>
      <x:c r="V160" s="28"/>
      <x:c r="W160" s="28"/>
      <x:c r="X160" s="28"/>
      <x:c r="Y160" s="28"/>
      <x:c r="Z160" s="28"/>
      <x:c r="AA160" s="28"/>
      <x:c r="AB160" s="42"/>
      <x:c r="AC160" s="28"/>
      <x:c r="AD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43"/>
      <x:c r="R161" s="43"/>
      <x:c r="S161" s="28"/>
      <x:c r="T161" s="28"/>
      <x:c r="U161" s="28"/>
      <x:c r="V161" s="28"/>
      <x:c r="W161" s="28"/>
      <x:c r="X161" s="28"/>
      <x:c r="Y161" s="28"/>
      <x:c r="Z161" s="28"/>
      <x:c r="AA161" s="28"/>
      <x:c r="AB161" s="42"/>
      <x:c r="AC161" s="28"/>
      <x:c r="AD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43"/>
      <x:c r="R162" s="43"/>
      <x:c r="S162" s="28"/>
      <x:c r="T162" s="28"/>
      <x:c r="U162" s="28"/>
      <x:c r="V162" s="28"/>
      <x:c r="W162" s="28"/>
      <x:c r="X162" s="28"/>
      <x:c r="Y162" s="28"/>
      <x:c r="Z162" s="28"/>
      <x:c r="AA162" s="28"/>
      <x:c r="AB162" s="42"/>
      <x:c r="AC162" s="28"/>
      <x:c r="AD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43"/>
      <x:c r="R163" s="43"/>
      <x:c r="S163" s="28"/>
      <x:c r="T163" s="28"/>
      <x:c r="U163" s="28"/>
      <x:c r="V163" s="28"/>
      <x:c r="W163" s="28"/>
      <x:c r="X163" s="28"/>
      <x:c r="Y163" s="28"/>
      <x:c r="Z163" s="28"/>
      <x:c r="AA163" s="28"/>
      <x:c r="AB163" s="42"/>
      <x:c r="AC163" s="28"/>
      <x:c r="AD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43"/>
      <x:c r="R164" s="43"/>
      <x:c r="S164" s="28"/>
      <x:c r="T164" s="28"/>
      <x:c r="U164" s="28"/>
      <x:c r="V164" s="28"/>
      <x:c r="W164" s="28"/>
      <x:c r="X164" s="28"/>
      <x:c r="Y164" s="28"/>
      <x:c r="Z164" s="28"/>
      <x:c r="AA164" s="28"/>
      <x:c r="AB164" s="42"/>
      <x:c r="AC164" s="28"/>
      <x:c r="AD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43"/>
      <x:c r="R165" s="43"/>
      <x:c r="S165" s="28"/>
      <x:c r="T165" s="28"/>
      <x:c r="U165" s="28"/>
      <x:c r="V165" s="28"/>
      <x:c r="W165" s="28"/>
      <x:c r="X165" s="28"/>
      <x:c r="Y165" s="28"/>
      <x:c r="Z165" s="28"/>
      <x:c r="AA165" s="28"/>
      <x:c r="AB165" s="42"/>
      <x:c r="AC165" s="28"/>
      <x:c r="AD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43"/>
      <x:c r="R166" s="43"/>
      <x:c r="S166" s="28"/>
      <x:c r="T166" s="28"/>
      <x:c r="U166" s="28"/>
      <x:c r="V166" s="28"/>
      <x:c r="W166" s="28"/>
      <x:c r="X166" s="28"/>
      <x:c r="Y166" s="28"/>
      <x:c r="Z166" s="28"/>
      <x:c r="AA166" s="28"/>
      <x:c r="AB166" s="42"/>
      <x:c r="AC166" s="28"/>
      <x:c r="AD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43"/>
      <x:c r="R167" s="43"/>
      <x:c r="S167" s="28"/>
      <x:c r="T167" s="28"/>
      <x:c r="U167" s="28"/>
      <x:c r="V167" s="28"/>
      <x:c r="W167" s="28"/>
      <x:c r="X167" s="28"/>
      <x:c r="Y167" s="28"/>
      <x:c r="Z167" s="28"/>
      <x:c r="AA167" s="28"/>
      <x:c r="AB167" s="42"/>
      <x:c r="AC167" s="28"/>
      <x:c r="AD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43"/>
      <x:c r="R168" s="43"/>
      <x:c r="S168" s="28"/>
      <x:c r="T168" s="28"/>
      <x:c r="U168" s="28"/>
      <x:c r="V168" s="28"/>
      <x:c r="W168" s="28"/>
      <x:c r="X168" s="28"/>
      <x:c r="Y168" s="28"/>
      <x:c r="Z168" s="28"/>
      <x:c r="AA168" s="28"/>
      <x:c r="AB168" s="42"/>
      <x:c r="AC168" s="28"/>
      <x:c r="AD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43"/>
      <x:c r="R169" s="43"/>
      <x:c r="S169" s="28"/>
      <x:c r="T169" s="28"/>
      <x:c r="U169" s="28"/>
      <x:c r="V169" s="28"/>
      <x:c r="W169" s="28"/>
      <x:c r="X169" s="28"/>
      <x:c r="Y169" s="28"/>
      <x:c r="Z169" s="28"/>
      <x:c r="AA169" s="28"/>
      <x:c r="AB169" s="42"/>
      <x:c r="AC169" s="28"/>
      <x:c r="AD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43"/>
      <x:c r="R170" s="43"/>
      <x:c r="S170" s="28"/>
      <x:c r="T170" s="28"/>
      <x:c r="U170" s="28"/>
      <x:c r="V170" s="28"/>
      <x:c r="W170" s="28"/>
      <x:c r="X170" s="28"/>
      <x:c r="Y170" s="28"/>
      <x:c r="Z170" s="28"/>
      <x:c r="AA170" s="28"/>
      <x:c r="AB170" s="42"/>
      <x:c r="AC170" s="28"/>
      <x:c r="AD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43"/>
      <x:c r="R171" s="43"/>
      <x:c r="S171" s="28"/>
      <x:c r="T171" s="28"/>
      <x:c r="U171" s="28"/>
      <x:c r="V171" s="28"/>
      <x:c r="W171" s="28"/>
      <x:c r="X171" s="28"/>
      <x:c r="Y171" s="28"/>
      <x:c r="Z171" s="28"/>
      <x:c r="AA171" s="28"/>
      <x:c r="AB171" s="42"/>
      <x:c r="AC171" s="28"/>
      <x:c r="AD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43"/>
      <x:c r="R172" s="43"/>
      <x:c r="S172" s="28"/>
      <x:c r="T172" s="28"/>
      <x:c r="U172" s="28"/>
      <x:c r="V172" s="28"/>
      <x:c r="W172" s="28"/>
      <x:c r="X172" s="28"/>
      <x:c r="Y172" s="28"/>
      <x:c r="Z172" s="28"/>
      <x:c r="AA172" s="28"/>
      <x:c r="AB172" s="42"/>
      <x:c r="AC172" s="28"/>
      <x:c r="AD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43"/>
      <x:c r="R173" s="43"/>
      <x:c r="S173" s="28"/>
      <x:c r="T173" s="28"/>
      <x:c r="U173" s="28"/>
      <x:c r="V173" s="28"/>
      <x:c r="W173" s="28"/>
      <x:c r="X173" s="28"/>
      <x:c r="Y173" s="28"/>
      <x:c r="Z173" s="28"/>
      <x:c r="AA173" s="28"/>
      <x:c r="AB173" s="42"/>
      <x:c r="AC173" s="28"/>
      <x:c r="AD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43"/>
      <x:c r="R174" s="43"/>
      <x:c r="S174" s="28"/>
      <x:c r="T174" s="28"/>
      <x:c r="U174" s="28"/>
      <x:c r="V174" s="28"/>
      <x:c r="W174" s="28"/>
      <x:c r="X174" s="28"/>
      <x:c r="Y174" s="28"/>
      <x:c r="Z174" s="28"/>
      <x:c r="AA174" s="28"/>
      <x:c r="AB174" s="42"/>
      <x:c r="AC174" s="28"/>
      <x:c r="AD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43"/>
      <x:c r="R175" s="43"/>
      <x:c r="S175" s="28"/>
      <x:c r="T175" s="28"/>
      <x:c r="U175" s="28"/>
      <x:c r="V175" s="28"/>
      <x:c r="W175" s="28"/>
      <x:c r="X175" s="28"/>
      <x:c r="Y175" s="28"/>
      <x:c r="Z175" s="28"/>
      <x:c r="AA175" s="28"/>
      <x:c r="AB175" s="42"/>
      <x:c r="AC175" s="28"/>
      <x:c r="AD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43"/>
      <x:c r="R176" s="43"/>
      <x:c r="S176" s="28"/>
      <x:c r="T176" s="28"/>
      <x:c r="U176" s="28"/>
      <x:c r="V176" s="28"/>
      <x:c r="W176" s="28"/>
      <x:c r="X176" s="28"/>
      <x:c r="Y176" s="28"/>
      <x:c r="Z176" s="28"/>
      <x:c r="AA176" s="28"/>
      <x:c r="AB176" s="42"/>
      <x:c r="AC176" s="28"/>
      <x:c r="AD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43"/>
      <x:c r="R177" s="43"/>
      <x:c r="S177" s="28"/>
      <x:c r="T177" s="28"/>
      <x:c r="U177" s="28"/>
      <x:c r="V177" s="28"/>
      <x:c r="W177" s="28"/>
      <x:c r="X177" s="28"/>
      <x:c r="Y177" s="28"/>
      <x:c r="Z177" s="28"/>
      <x:c r="AA177" s="28"/>
      <x:c r="AB177" s="42"/>
      <x:c r="AC177" s="28"/>
      <x:c r="AD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43"/>
      <x:c r="R178" s="43"/>
      <x:c r="S178" s="28"/>
      <x:c r="T178" s="28"/>
      <x:c r="U178" s="28"/>
      <x:c r="V178" s="28"/>
      <x:c r="W178" s="28"/>
      <x:c r="X178" s="28"/>
      <x:c r="Y178" s="28"/>
      <x:c r="Z178" s="28"/>
      <x:c r="AA178" s="28"/>
      <x:c r="AB178" s="42"/>
      <x:c r="AC178" s="28"/>
      <x:c r="AD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43"/>
      <x:c r="R179" s="43"/>
      <x:c r="S179" s="28"/>
      <x:c r="T179" s="28"/>
      <x:c r="U179" s="28"/>
      <x:c r="V179" s="28"/>
      <x:c r="W179" s="28"/>
      <x:c r="X179" s="28"/>
      <x:c r="Y179" s="28"/>
      <x:c r="Z179" s="28"/>
      <x:c r="AA179" s="28"/>
      <x:c r="AB179" s="42"/>
      <x:c r="AC179" s="28"/>
      <x:c r="AD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43"/>
      <x:c r="R180" s="43"/>
      <x:c r="S180" s="28"/>
      <x:c r="T180" s="28"/>
      <x:c r="U180" s="28"/>
      <x:c r="V180" s="28"/>
      <x:c r="W180" s="28"/>
      <x:c r="X180" s="28"/>
      <x:c r="Y180" s="28"/>
      <x:c r="Z180" s="28"/>
      <x:c r="AA180" s="28"/>
      <x:c r="AB180" s="42"/>
      <x:c r="AC180" s="28"/>
      <x:c r="AD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43"/>
      <x:c r="R181" s="43"/>
      <x:c r="S181" s="28"/>
      <x:c r="T181" s="28"/>
      <x:c r="U181" s="28"/>
      <x:c r="V181" s="28"/>
      <x:c r="W181" s="28"/>
      <x:c r="X181" s="28"/>
      <x:c r="Y181" s="28"/>
      <x:c r="Z181" s="28"/>
      <x:c r="AA181" s="28"/>
      <x:c r="AB181" s="42"/>
      <x:c r="AC181" s="28"/>
      <x:c r="AD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43"/>
      <x:c r="R182" s="43"/>
      <x:c r="S182" s="28"/>
      <x:c r="T182" s="28"/>
      <x:c r="U182" s="28"/>
      <x:c r="V182" s="28"/>
      <x:c r="W182" s="28"/>
      <x:c r="X182" s="28"/>
      <x:c r="Y182" s="28"/>
      <x:c r="Z182" s="28"/>
      <x:c r="AA182" s="28"/>
      <x:c r="AB182" s="42"/>
      <x:c r="AC182" s="28"/>
      <x:c r="AD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43"/>
      <x:c r="R183" s="43"/>
      <x:c r="S183" s="28"/>
      <x:c r="T183" s="28"/>
      <x:c r="U183" s="28"/>
      <x:c r="V183" s="28"/>
      <x:c r="W183" s="28"/>
      <x:c r="X183" s="28"/>
      <x:c r="Y183" s="28"/>
      <x:c r="Z183" s="28"/>
      <x:c r="AA183" s="28"/>
      <x:c r="AB183" s="42"/>
      <x:c r="AC183" s="28"/>
      <x:c r="AD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43"/>
      <x:c r="R184" s="43"/>
      <x:c r="S184" s="28"/>
      <x:c r="T184" s="28"/>
      <x:c r="U184" s="28"/>
      <x:c r="V184" s="28"/>
      <x:c r="W184" s="28"/>
      <x:c r="X184" s="28"/>
      <x:c r="Y184" s="28"/>
      <x:c r="Z184" s="28"/>
      <x:c r="AA184" s="28"/>
      <x:c r="AB184" s="42"/>
      <x:c r="AC184" s="28"/>
      <x:c r="AD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43"/>
      <x:c r="R185" s="43"/>
      <x:c r="S185" s="28"/>
      <x:c r="T185" s="28"/>
      <x:c r="U185" s="28"/>
      <x:c r="V185" s="28"/>
      <x:c r="W185" s="28"/>
      <x:c r="X185" s="28"/>
      <x:c r="Y185" s="28"/>
      <x:c r="Z185" s="28"/>
      <x:c r="AA185" s="28"/>
      <x:c r="AB185" s="42"/>
      <x:c r="AC185" s="28"/>
      <x:c r="AD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43"/>
      <x:c r="R186" s="43"/>
      <x:c r="S186" s="28"/>
      <x:c r="T186" s="28"/>
      <x:c r="U186" s="28"/>
      <x:c r="V186" s="28"/>
      <x:c r="W186" s="28"/>
      <x:c r="X186" s="28"/>
      <x:c r="Y186" s="28"/>
      <x:c r="Z186" s="28"/>
      <x:c r="AA186" s="28"/>
      <x:c r="AB186" s="42"/>
      <x:c r="AC186" s="28"/>
      <x:c r="AD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43"/>
      <x:c r="R187" s="43"/>
      <x:c r="S187" s="28"/>
      <x:c r="T187" s="28"/>
      <x:c r="U187" s="28"/>
      <x:c r="V187" s="28"/>
      <x:c r="W187" s="28"/>
      <x:c r="X187" s="28"/>
      <x:c r="Y187" s="28"/>
      <x:c r="Z187" s="28"/>
      <x:c r="AA187" s="28"/>
      <x:c r="AB187" s="42"/>
      <x:c r="AC187" s="28"/>
      <x:c r="AD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43"/>
      <x:c r="R188" s="43"/>
      <x:c r="S188" s="28"/>
      <x:c r="T188" s="28"/>
      <x:c r="U188" s="28"/>
      <x:c r="V188" s="28"/>
      <x:c r="W188" s="28"/>
      <x:c r="X188" s="28"/>
      <x:c r="Y188" s="28"/>
      <x:c r="Z188" s="28"/>
      <x:c r="AA188" s="28"/>
      <x:c r="AB188" s="42"/>
      <x:c r="AC188" s="28"/>
      <x:c r="AD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43"/>
      <x:c r="R189" s="43"/>
      <x:c r="S189" s="28"/>
      <x:c r="T189" s="28"/>
      <x:c r="U189" s="28"/>
      <x:c r="V189" s="28"/>
      <x:c r="W189" s="28"/>
      <x:c r="X189" s="28"/>
      <x:c r="Y189" s="28"/>
      <x:c r="Z189" s="28"/>
      <x:c r="AA189" s="28"/>
      <x:c r="AB189" s="42"/>
      <x:c r="AC189" s="28"/>
      <x:c r="AD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43"/>
      <x:c r="R190" s="43"/>
      <x:c r="S190" s="28"/>
      <x:c r="T190" s="28"/>
      <x:c r="U190" s="28"/>
      <x:c r="V190" s="28"/>
      <x:c r="W190" s="28"/>
      <x:c r="X190" s="28"/>
      <x:c r="Y190" s="28"/>
      <x:c r="Z190" s="28"/>
      <x:c r="AA190" s="28"/>
      <x:c r="AB190" s="42"/>
      <x:c r="AC190" s="28"/>
      <x:c r="AD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43"/>
      <x:c r="R191" s="43"/>
      <x:c r="S191" s="28"/>
      <x:c r="T191" s="28"/>
      <x:c r="U191" s="28"/>
      <x:c r="V191" s="28"/>
      <x:c r="W191" s="28"/>
      <x:c r="X191" s="28"/>
      <x:c r="Y191" s="28"/>
      <x:c r="Z191" s="28"/>
      <x:c r="AA191" s="28"/>
      <x:c r="AB191" s="42"/>
      <x:c r="AC191" s="28"/>
      <x:c r="AD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43"/>
      <x:c r="R192" s="43"/>
      <x:c r="S192" s="28"/>
      <x:c r="T192" s="28"/>
      <x:c r="U192" s="28"/>
      <x:c r="V192" s="28"/>
      <x:c r="W192" s="28"/>
      <x:c r="X192" s="28"/>
      <x:c r="Y192" s="28"/>
      <x:c r="Z192" s="28"/>
      <x:c r="AA192" s="28"/>
      <x:c r="AB192" s="42"/>
      <x:c r="AC192" s="28"/>
      <x:c r="AD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43"/>
      <x:c r="R193" s="43"/>
      <x:c r="S193" s="28"/>
      <x:c r="T193" s="28"/>
      <x:c r="U193" s="28"/>
      <x:c r="V193" s="28"/>
      <x:c r="W193" s="28"/>
      <x:c r="X193" s="28"/>
      <x:c r="Y193" s="28"/>
      <x:c r="Z193" s="28"/>
      <x:c r="AA193" s="28"/>
      <x:c r="AB193" s="42"/>
      <x:c r="AC193" s="28"/>
      <x:c r="AD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43"/>
      <x:c r="R194" s="43"/>
      <x:c r="S194" s="28"/>
      <x:c r="T194" s="28"/>
      <x:c r="U194" s="28"/>
      <x:c r="V194" s="28"/>
      <x:c r="W194" s="28"/>
      <x:c r="X194" s="28"/>
      <x:c r="Y194" s="28"/>
      <x:c r="Z194" s="28"/>
      <x:c r="AA194" s="28"/>
      <x:c r="AB194" s="42"/>
      <x:c r="AC194" s="28"/>
      <x:c r="AD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43"/>
      <x:c r="R195" s="43"/>
      <x:c r="S195" s="28"/>
      <x:c r="T195" s="28"/>
      <x:c r="U195" s="28"/>
      <x:c r="V195" s="28"/>
      <x:c r="W195" s="28"/>
      <x:c r="X195" s="28"/>
      <x:c r="Y195" s="28"/>
      <x:c r="Z195" s="28"/>
      <x:c r="AA195" s="28"/>
      <x:c r="AB195" s="42"/>
      <x:c r="AC195" s="28"/>
      <x:c r="AD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43"/>
      <x:c r="R196" s="43"/>
      <x:c r="S196" s="28"/>
      <x:c r="T196" s="28"/>
      <x:c r="U196" s="28"/>
      <x:c r="V196" s="28"/>
      <x:c r="W196" s="28"/>
      <x:c r="X196" s="28"/>
      <x:c r="Y196" s="28"/>
      <x:c r="Z196" s="28"/>
      <x:c r="AA196" s="28"/>
      <x:c r="AB196" s="42"/>
      <x:c r="AC196" s="28"/>
      <x:c r="AD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43"/>
      <x:c r="R197" s="43"/>
      <x:c r="S197" s="28"/>
      <x:c r="T197" s="28"/>
      <x:c r="U197" s="28"/>
      <x:c r="V197" s="28"/>
      <x:c r="W197" s="28"/>
      <x:c r="X197" s="28"/>
      <x:c r="Y197" s="28"/>
      <x:c r="Z197" s="28"/>
      <x:c r="AA197" s="28"/>
      <x:c r="AB197" s="42"/>
      <x:c r="AC197" s="28"/>
      <x:c r="AD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43"/>
      <x:c r="R198" s="43"/>
      <x:c r="S198" s="28"/>
      <x:c r="T198" s="28"/>
      <x:c r="U198" s="28"/>
      <x:c r="V198" s="28"/>
      <x:c r="W198" s="28"/>
      <x:c r="X198" s="28"/>
      <x:c r="Y198" s="28"/>
      <x:c r="Z198" s="28"/>
      <x:c r="AA198" s="28"/>
      <x:c r="AB198" s="42"/>
      <x:c r="AC198" s="28"/>
      <x:c r="AD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43"/>
      <x:c r="R199" s="43"/>
      <x:c r="S199" s="28"/>
      <x:c r="T199" s="28"/>
      <x:c r="U199" s="28"/>
      <x:c r="V199" s="28"/>
      <x:c r="W199" s="28"/>
      <x:c r="X199" s="28"/>
      <x:c r="Y199" s="28"/>
      <x:c r="Z199" s="28"/>
      <x:c r="AA199" s="28"/>
      <x:c r="AB199" s="42"/>
      <x:c r="AC199" s="28"/>
      <x:c r="AD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43"/>
      <x:c r="R200" s="43"/>
      <x:c r="S200" s="28"/>
      <x:c r="T200" s="28"/>
      <x:c r="U200" s="28"/>
      <x:c r="V200" s="28"/>
      <x:c r="W200" s="28"/>
      <x:c r="X200" s="28"/>
      <x:c r="Y200" s="28"/>
      <x:c r="Z200" s="28"/>
      <x:c r="AA200" s="28"/>
      <x:c r="AB200" s="42"/>
      <x:c r="AC200" s="28"/>
      <x:c r="AD200" s="28"/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43"/>
      <x:c r="R201" s="43"/>
      <x:c r="S201" s="28"/>
      <x:c r="T201" s="28"/>
      <x:c r="U201" s="28"/>
      <x:c r="V201" s="28"/>
      <x:c r="W201" s="28"/>
      <x:c r="X201" s="28"/>
      <x:c r="Y201" s="28"/>
      <x:c r="Z201" s="28"/>
      <x:c r="AA201" s="28"/>
      <x:c r="AB201" s="42"/>
      <x:c r="AC201" s="28"/>
      <x:c r="AD201" s="28"/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43"/>
      <x:c r="R202" s="43"/>
      <x:c r="S202" s="28"/>
      <x:c r="T202" s="28"/>
      <x:c r="U202" s="28"/>
      <x:c r="V202" s="28"/>
      <x:c r="W202" s="28"/>
      <x:c r="X202" s="28"/>
      <x:c r="Y202" s="28"/>
      <x:c r="Z202" s="28"/>
      <x:c r="AA202" s="28"/>
      <x:c r="AB202" s="42"/>
      <x:c r="AC202" s="28"/>
      <x:c r="AD202" s="28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43"/>
      <x:c r="R203" s="43"/>
      <x:c r="S203" s="28"/>
      <x:c r="T203" s="28"/>
      <x:c r="U203" s="28"/>
      <x:c r="V203" s="28"/>
      <x:c r="W203" s="28"/>
      <x:c r="X203" s="28"/>
      <x:c r="Y203" s="28"/>
      <x:c r="Z203" s="28"/>
      <x:c r="AA203" s="28"/>
      <x:c r="AB203" s="42"/>
      <x:c r="AC203" s="28"/>
      <x:c r="AD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43"/>
      <x:c r="R204" s="43"/>
      <x:c r="S204" s="28"/>
      <x:c r="T204" s="28"/>
      <x:c r="U204" s="28"/>
      <x:c r="V204" s="28"/>
      <x:c r="W204" s="28"/>
      <x:c r="X204" s="28"/>
      <x:c r="Y204" s="28"/>
      <x:c r="Z204" s="28"/>
      <x:c r="AA204" s="28"/>
      <x:c r="AB204" s="42"/>
      <x:c r="AC204" s="28"/>
      <x:c r="AD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43"/>
      <x:c r="R205" s="43"/>
      <x:c r="S205" s="28"/>
      <x:c r="T205" s="28"/>
      <x:c r="U205" s="28"/>
      <x:c r="V205" s="28"/>
      <x:c r="W205" s="28"/>
      <x:c r="X205" s="28"/>
      <x:c r="Y205" s="28"/>
      <x:c r="Z205" s="28"/>
      <x:c r="AA205" s="28"/>
      <x:c r="AB205" s="42"/>
      <x:c r="AC205" s="28"/>
      <x:c r="AD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43"/>
      <x:c r="R206" s="43"/>
      <x:c r="S206" s="28"/>
      <x:c r="T206" s="28"/>
      <x:c r="U206" s="28"/>
      <x:c r="V206" s="28"/>
      <x:c r="W206" s="28"/>
      <x:c r="X206" s="28"/>
      <x:c r="Y206" s="28"/>
      <x:c r="Z206" s="28"/>
      <x:c r="AA206" s="28"/>
      <x:c r="AB206" s="42"/>
      <x:c r="AC206" s="28"/>
      <x:c r="AD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43"/>
      <x:c r="R207" s="43"/>
      <x:c r="S207" s="28"/>
      <x:c r="T207" s="28"/>
      <x:c r="U207" s="28"/>
      <x:c r="V207" s="28"/>
      <x:c r="W207" s="28"/>
      <x:c r="X207" s="28"/>
      <x:c r="Y207" s="28"/>
      <x:c r="Z207" s="28"/>
      <x:c r="AA207" s="28"/>
      <x:c r="AB207" s="42"/>
      <x:c r="AC207" s="28"/>
      <x:c r="AD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43"/>
      <x:c r="R208" s="43"/>
      <x:c r="S208" s="28"/>
      <x:c r="T208" s="28"/>
      <x:c r="U208" s="28"/>
      <x:c r="V208" s="28"/>
      <x:c r="W208" s="28"/>
      <x:c r="X208" s="28"/>
      <x:c r="Y208" s="28"/>
      <x:c r="Z208" s="28"/>
      <x:c r="AA208" s="28"/>
      <x:c r="AB208" s="42"/>
      <x:c r="AC208" s="28"/>
      <x:c r="AD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43"/>
      <x:c r="R209" s="43"/>
      <x:c r="S209" s="28"/>
      <x:c r="T209" s="28"/>
      <x:c r="U209" s="28"/>
      <x:c r="V209" s="28"/>
      <x:c r="W209" s="28"/>
      <x:c r="X209" s="28"/>
      <x:c r="Y209" s="28"/>
      <x:c r="Z209" s="28"/>
      <x:c r="AA209" s="28"/>
      <x:c r="AB209" s="42"/>
      <x:c r="AC209" s="28"/>
      <x:c r="AD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43"/>
      <x:c r="R210" s="43"/>
      <x:c r="S210" s="28"/>
      <x:c r="T210" s="28"/>
      <x:c r="U210" s="28"/>
      <x:c r="V210" s="28"/>
      <x:c r="W210" s="28"/>
      <x:c r="X210" s="28"/>
      <x:c r="Y210" s="28"/>
      <x:c r="Z210" s="28"/>
      <x:c r="AA210" s="28"/>
      <x:c r="AB210" s="42"/>
      <x:c r="AC210" s="28"/>
      <x:c r="AD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43"/>
      <x:c r="R211" s="43"/>
      <x:c r="S211" s="28"/>
      <x:c r="T211" s="28"/>
      <x:c r="U211" s="28"/>
      <x:c r="V211" s="28"/>
      <x:c r="W211" s="28"/>
      <x:c r="X211" s="28"/>
      <x:c r="Y211" s="28"/>
      <x:c r="Z211" s="28"/>
      <x:c r="AA211" s="28"/>
      <x:c r="AB211" s="42"/>
      <x:c r="AC211" s="28"/>
      <x:c r="AD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43"/>
      <x:c r="R212" s="43"/>
      <x:c r="S212" s="28"/>
      <x:c r="T212" s="28"/>
      <x:c r="U212" s="28"/>
      <x:c r="V212" s="28"/>
      <x:c r="W212" s="28"/>
      <x:c r="X212" s="28"/>
      <x:c r="Y212" s="28"/>
      <x:c r="Z212" s="28"/>
      <x:c r="AA212" s="28"/>
      <x:c r="AB212" s="42"/>
      <x:c r="AC212" s="28"/>
      <x:c r="AD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43"/>
      <x:c r="R213" s="43"/>
      <x:c r="S213" s="28"/>
      <x:c r="T213" s="28"/>
      <x:c r="U213" s="28"/>
      <x:c r="V213" s="28"/>
      <x:c r="W213" s="28"/>
      <x:c r="X213" s="28"/>
      <x:c r="Y213" s="28"/>
      <x:c r="Z213" s="28"/>
      <x:c r="AA213" s="28"/>
      <x:c r="AB213" s="42"/>
      <x:c r="AC213" s="28"/>
      <x:c r="AD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43"/>
      <x:c r="R214" s="43"/>
      <x:c r="S214" s="28"/>
      <x:c r="T214" s="28"/>
      <x:c r="U214" s="28"/>
      <x:c r="V214" s="28"/>
      <x:c r="W214" s="28"/>
      <x:c r="X214" s="28"/>
      <x:c r="Y214" s="28"/>
      <x:c r="Z214" s="28"/>
      <x:c r="AA214" s="28"/>
      <x:c r="AB214" s="42"/>
      <x:c r="AC214" s="28"/>
      <x:c r="AD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43"/>
      <x:c r="R215" s="43"/>
      <x:c r="S215" s="28"/>
      <x:c r="T215" s="28"/>
      <x:c r="U215" s="28"/>
      <x:c r="V215" s="28"/>
      <x:c r="W215" s="28"/>
      <x:c r="X215" s="28"/>
      <x:c r="Y215" s="28"/>
      <x:c r="Z215" s="28"/>
      <x:c r="AA215" s="28"/>
      <x:c r="AB215" s="42"/>
      <x:c r="AC215" s="28"/>
      <x:c r="AD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43"/>
      <x:c r="R216" s="43"/>
      <x:c r="S216" s="28"/>
      <x:c r="T216" s="28"/>
      <x:c r="U216" s="28"/>
      <x:c r="V216" s="28"/>
      <x:c r="W216" s="28"/>
      <x:c r="X216" s="28"/>
      <x:c r="Y216" s="28"/>
      <x:c r="Z216" s="28"/>
      <x:c r="AA216" s="28"/>
      <x:c r="AB216" s="42"/>
      <x:c r="AC216" s="28"/>
      <x:c r="AD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43"/>
      <x:c r="R217" s="43"/>
      <x:c r="S217" s="28"/>
      <x:c r="T217" s="28"/>
      <x:c r="U217" s="28"/>
      <x:c r="V217" s="28"/>
      <x:c r="W217" s="28"/>
      <x:c r="X217" s="28"/>
      <x:c r="Y217" s="28"/>
      <x:c r="Z217" s="28"/>
      <x:c r="AA217" s="28"/>
      <x:c r="AB217" s="42"/>
      <x:c r="AC217" s="28"/>
      <x:c r="AD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43"/>
      <x:c r="R218" s="43"/>
      <x:c r="S218" s="28"/>
      <x:c r="T218" s="28"/>
      <x:c r="U218" s="28"/>
      <x:c r="V218" s="28"/>
      <x:c r="W218" s="28"/>
      <x:c r="X218" s="28"/>
      <x:c r="Y218" s="28"/>
      <x:c r="Z218" s="28"/>
      <x:c r="AA218" s="28"/>
      <x:c r="AB218" s="42"/>
      <x:c r="AC218" s="28"/>
      <x:c r="AD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43"/>
      <x:c r="R219" s="43"/>
      <x:c r="S219" s="28"/>
      <x:c r="T219" s="28"/>
      <x:c r="U219" s="28"/>
      <x:c r="V219" s="28"/>
      <x:c r="W219" s="28"/>
      <x:c r="X219" s="28"/>
      <x:c r="Y219" s="28"/>
      <x:c r="Z219" s="28"/>
      <x:c r="AA219" s="28"/>
      <x:c r="AB219" s="42"/>
      <x:c r="AC219" s="28"/>
      <x:c r="AD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43"/>
      <x:c r="R220" s="43"/>
      <x:c r="S220" s="28"/>
      <x:c r="T220" s="28"/>
      <x:c r="U220" s="28"/>
      <x:c r="V220" s="28"/>
      <x:c r="W220" s="28"/>
      <x:c r="X220" s="28"/>
      <x:c r="Y220" s="28"/>
      <x:c r="Z220" s="28"/>
      <x:c r="AA220" s="28"/>
      <x:c r="AB220" s="42"/>
      <x:c r="AC220" s="28"/>
      <x:c r="AD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43"/>
      <x:c r="R221" s="43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42"/>
      <x:c r="AC221" s="28"/>
      <x:c r="AD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43"/>
      <x:c r="R222" s="43"/>
      <x:c r="S222" s="28"/>
      <x:c r="T222" s="28"/>
      <x:c r="U222" s="28"/>
      <x:c r="V222" s="28"/>
      <x:c r="W222" s="28"/>
      <x:c r="X222" s="28"/>
      <x:c r="Y222" s="28"/>
      <x:c r="Z222" s="28"/>
      <x:c r="AA222" s="28"/>
      <x:c r="AB222" s="42"/>
      <x:c r="AC222" s="28"/>
      <x:c r="AD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43"/>
      <x:c r="R223" s="43"/>
      <x:c r="S223" s="28"/>
      <x:c r="T223" s="28"/>
      <x:c r="U223" s="28"/>
      <x:c r="V223" s="28"/>
      <x:c r="W223" s="28"/>
      <x:c r="X223" s="28"/>
      <x:c r="Y223" s="28"/>
      <x:c r="Z223" s="28"/>
      <x:c r="AA223" s="28"/>
      <x:c r="AB223" s="42"/>
      <x:c r="AC223" s="28"/>
      <x:c r="AD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43"/>
      <x:c r="R224" s="43"/>
      <x:c r="S224" s="28"/>
      <x:c r="T224" s="28"/>
      <x:c r="U224" s="28"/>
      <x:c r="V224" s="28"/>
      <x:c r="W224" s="28"/>
      <x:c r="X224" s="28"/>
      <x:c r="Y224" s="28"/>
      <x:c r="Z224" s="28"/>
      <x:c r="AA224" s="28"/>
      <x:c r="AB224" s="42"/>
      <x:c r="AC224" s="28"/>
      <x:c r="AD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43"/>
      <x:c r="R225" s="43"/>
      <x:c r="S225" s="28"/>
      <x:c r="T225" s="28"/>
      <x:c r="U225" s="28"/>
      <x:c r="V225" s="28"/>
      <x:c r="W225" s="28"/>
      <x:c r="X225" s="28"/>
      <x:c r="Y225" s="28"/>
      <x:c r="Z225" s="28"/>
      <x:c r="AA225" s="28"/>
      <x:c r="AB225" s="42"/>
      <x:c r="AC225" s="28"/>
      <x:c r="AD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43"/>
      <x:c r="R226" s="43"/>
      <x:c r="S226" s="28"/>
      <x:c r="T226" s="28"/>
      <x:c r="U226" s="28"/>
      <x:c r="V226" s="28"/>
      <x:c r="W226" s="28"/>
      <x:c r="X226" s="28"/>
      <x:c r="Y226" s="28"/>
      <x:c r="Z226" s="28"/>
      <x:c r="AA226" s="28"/>
      <x:c r="AB226" s="42"/>
      <x:c r="AC226" s="28"/>
      <x:c r="AD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43"/>
      <x:c r="R227" s="43"/>
      <x:c r="S227" s="28"/>
      <x:c r="T227" s="28"/>
      <x:c r="U227" s="28"/>
      <x:c r="V227" s="28"/>
      <x:c r="W227" s="28"/>
      <x:c r="X227" s="28"/>
      <x:c r="Y227" s="28"/>
      <x:c r="Z227" s="28"/>
      <x:c r="AA227" s="28"/>
      <x:c r="AB227" s="42"/>
      <x:c r="AC227" s="28"/>
      <x:c r="AD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43"/>
      <x:c r="R228" s="43"/>
      <x:c r="S228" s="28"/>
      <x:c r="T228" s="28"/>
      <x:c r="U228" s="28"/>
      <x:c r="V228" s="28"/>
      <x:c r="W228" s="28"/>
      <x:c r="X228" s="28"/>
      <x:c r="Y228" s="28"/>
      <x:c r="Z228" s="28"/>
      <x:c r="AA228" s="28"/>
      <x:c r="AB228" s="42"/>
      <x:c r="AC228" s="28"/>
      <x:c r="AD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43"/>
      <x:c r="R229" s="43"/>
      <x:c r="S229" s="28"/>
      <x:c r="T229" s="28"/>
      <x:c r="U229" s="28"/>
      <x:c r="V229" s="28"/>
      <x:c r="W229" s="28"/>
      <x:c r="X229" s="28"/>
      <x:c r="Y229" s="28"/>
      <x:c r="Z229" s="28"/>
      <x:c r="AA229" s="28"/>
      <x:c r="AB229" s="42"/>
      <x:c r="AC229" s="28"/>
      <x:c r="AD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43"/>
      <x:c r="R230" s="43"/>
      <x:c r="S230" s="28"/>
      <x:c r="T230" s="28"/>
      <x:c r="U230" s="28"/>
      <x:c r="V230" s="28"/>
      <x:c r="W230" s="28"/>
      <x:c r="X230" s="28"/>
      <x:c r="Y230" s="28"/>
      <x:c r="Z230" s="28"/>
      <x:c r="AA230" s="28"/>
      <x:c r="AB230" s="42"/>
      <x:c r="AC230" s="28"/>
      <x:c r="AD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43"/>
      <x:c r="R231" s="43"/>
      <x:c r="S231" s="28"/>
      <x:c r="T231" s="28"/>
      <x:c r="U231" s="28"/>
      <x:c r="V231" s="28"/>
      <x:c r="W231" s="28"/>
      <x:c r="X231" s="28"/>
      <x:c r="Y231" s="28"/>
      <x:c r="Z231" s="28"/>
      <x:c r="AA231" s="28"/>
      <x:c r="AB231" s="42"/>
      <x:c r="AC231" s="28"/>
      <x:c r="AD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43"/>
      <x:c r="R232" s="43"/>
      <x:c r="S232" s="28"/>
      <x:c r="T232" s="28"/>
      <x:c r="U232" s="28"/>
      <x:c r="V232" s="28"/>
      <x:c r="W232" s="28"/>
      <x:c r="X232" s="28"/>
      <x:c r="Y232" s="28"/>
      <x:c r="Z232" s="28"/>
      <x:c r="AA232" s="28"/>
      <x:c r="AB232" s="42"/>
      <x:c r="AC232" s="28"/>
      <x:c r="AD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43"/>
      <x:c r="R233" s="43"/>
      <x:c r="S233" s="28"/>
      <x:c r="T233" s="28"/>
      <x:c r="U233" s="28"/>
      <x:c r="V233" s="28"/>
      <x:c r="W233" s="28"/>
      <x:c r="X233" s="28"/>
      <x:c r="Y233" s="28"/>
      <x:c r="Z233" s="28"/>
      <x:c r="AA233" s="28"/>
      <x:c r="AB233" s="42"/>
      <x:c r="AC233" s="28"/>
      <x:c r="AD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43"/>
      <x:c r="R234" s="43"/>
      <x:c r="S234" s="28"/>
      <x:c r="T234" s="28"/>
      <x:c r="U234" s="28"/>
      <x:c r="V234" s="28"/>
      <x:c r="W234" s="28"/>
      <x:c r="X234" s="28"/>
      <x:c r="Y234" s="28"/>
      <x:c r="Z234" s="28"/>
      <x:c r="AA234" s="28"/>
      <x:c r="AB234" s="42"/>
      <x:c r="AC234" s="28"/>
      <x:c r="AD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43"/>
      <x:c r="R235" s="43"/>
      <x:c r="S235" s="28"/>
      <x:c r="T235" s="28"/>
      <x:c r="U235" s="28"/>
      <x:c r="V235" s="28"/>
      <x:c r="W235" s="28"/>
      <x:c r="X235" s="28"/>
      <x:c r="Y235" s="28"/>
      <x:c r="Z235" s="28"/>
      <x:c r="AA235" s="28"/>
      <x:c r="AB235" s="42"/>
      <x:c r="AC235" s="28"/>
      <x:c r="AD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43"/>
      <x:c r="R236" s="43"/>
      <x:c r="S236" s="28"/>
      <x:c r="T236" s="28"/>
      <x:c r="U236" s="28"/>
      <x:c r="V236" s="28"/>
      <x:c r="W236" s="28"/>
      <x:c r="X236" s="28"/>
      <x:c r="Y236" s="28"/>
      <x:c r="Z236" s="28"/>
      <x:c r="AA236" s="28"/>
      <x:c r="AB236" s="42"/>
      <x:c r="AC236" s="28"/>
      <x:c r="AD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43"/>
      <x:c r="R237" s="43"/>
      <x:c r="S237" s="28"/>
      <x:c r="T237" s="28"/>
      <x:c r="U237" s="28"/>
      <x:c r="V237" s="28"/>
      <x:c r="W237" s="28"/>
      <x:c r="X237" s="28"/>
      <x:c r="Y237" s="28"/>
      <x:c r="Z237" s="28"/>
      <x:c r="AA237" s="28"/>
      <x:c r="AB237" s="42"/>
      <x:c r="AC237" s="28"/>
      <x:c r="AD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43"/>
      <x:c r="R238" s="43"/>
      <x:c r="S238" s="28"/>
      <x:c r="T238" s="28"/>
      <x:c r="U238" s="28"/>
      <x:c r="V238" s="28"/>
      <x:c r="W238" s="28"/>
      <x:c r="X238" s="28"/>
      <x:c r="Y238" s="28"/>
      <x:c r="Z238" s="28"/>
      <x:c r="AA238" s="28"/>
      <x:c r="AB238" s="42"/>
      <x:c r="AC238" s="28"/>
      <x:c r="AD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43"/>
      <x:c r="R239" s="43"/>
      <x:c r="S239" s="28"/>
      <x:c r="T239" s="28"/>
      <x:c r="U239" s="28"/>
      <x:c r="V239" s="28"/>
      <x:c r="W239" s="28"/>
      <x:c r="X239" s="28"/>
      <x:c r="Y239" s="28"/>
      <x:c r="Z239" s="28"/>
      <x:c r="AA239" s="28"/>
      <x:c r="AB239" s="42"/>
      <x:c r="AC239" s="28"/>
      <x:c r="AD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43"/>
      <x:c r="R240" s="43"/>
      <x:c r="S240" s="28"/>
      <x:c r="T240" s="28"/>
      <x:c r="U240" s="28"/>
      <x:c r="V240" s="28"/>
      <x:c r="W240" s="28"/>
      <x:c r="X240" s="28"/>
      <x:c r="Y240" s="28"/>
      <x:c r="Z240" s="28"/>
      <x:c r="AA240" s="28"/>
      <x:c r="AB240" s="42"/>
      <x:c r="AC240" s="28"/>
      <x:c r="AD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43"/>
      <x:c r="R241" s="43"/>
      <x:c r="S241" s="28"/>
      <x:c r="T241" s="28"/>
      <x:c r="U241" s="28"/>
      <x:c r="V241" s="28"/>
      <x:c r="W241" s="28"/>
      <x:c r="X241" s="28"/>
      <x:c r="Y241" s="28"/>
      <x:c r="Z241" s="28"/>
      <x:c r="AA241" s="28"/>
      <x:c r="AB241" s="42"/>
      <x:c r="AC241" s="28"/>
      <x:c r="AD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43"/>
      <x:c r="R242" s="43"/>
      <x:c r="S242" s="28"/>
      <x:c r="T242" s="28"/>
      <x:c r="U242" s="28"/>
      <x:c r="V242" s="28"/>
      <x:c r="W242" s="28"/>
      <x:c r="X242" s="28"/>
      <x:c r="Y242" s="28"/>
      <x:c r="Z242" s="28"/>
      <x:c r="AA242" s="28"/>
      <x:c r="AB242" s="42"/>
      <x:c r="AC242" s="28"/>
      <x:c r="AD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43"/>
      <x:c r="R243" s="43"/>
      <x:c r="S243" s="28"/>
      <x:c r="T243" s="28"/>
      <x:c r="U243" s="28"/>
      <x:c r="V243" s="28"/>
      <x:c r="W243" s="28"/>
      <x:c r="X243" s="28"/>
      <x:c r="Y243" s="28"/>
      <x:c r="Z243" s="28"/>
      <x:c r="AA243" s="28"/>
      <x:c r="AB243" s="42"/>
      <x:c r="AC243" s="28"/>
      <x:c r="AD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43"/>
      <x:c r="R244" s="43"/>
      <x:c r="S244" s="28"/>
      <x:c r="T244" s="28"/>
      <x:c r="U244" s="28"/>
      <x:c r="V244" s="28"/>
      <x:c r="W244" s="28"/>
      <x:c r="X244" s="28"/>
      <x:c r="Y244" s="28"/>
      <x:c r="Z244" s="28"/>
      <x:c r="AA244" s="28"/>
      <x:c r="AB244" s="42"/>
      <x:c r="AC244" s="28"/>
      <x:c r="AD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43"/>
      <x:c r="R245" s="43"/>
      <x:c r="S245" s="28"/>
      <x:c r="T245" s="28"/>
      <x:c r="U245" s="28"/>
      <x:c r="V245" s="28"/>
      <x:c r="W245" s="28"/>
      <x:c r="X245" s="28"/>
      <x:c r="Y245" s="28"/>
      <x:c r="Z245" s="28"/>
      <x:c r="AA245" s="28"/>
      <x:c r="AB245" s="42"/>
      <x:c r="AC245" s="28"/>
      <x:c r="AD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43"/>
      <x:c r="R246" s="43"/>
      <x:c r="S246" s="28"/>
      <x:c r="T246" s="28"/>
      <x:c r="U246" s="28"/>
      <x:c r="V246" s="28"/>
      <x:c r="W246" s="28"/>
      <x:c r="X246" s="28"/>
      <x:c r="Y246" s="28"/>
      <x:c r="Z246" s="28"/>
      <x:c r="AA246" s="28"/>
      <x:c r="AB246" s="42"/>
      <x:c r="AC246" s="28"/>
      <x:c r="AD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43"/>
      <x:c r="R247" s="43"/>
      <x:c r="S247" s="28"/>
      <x:c r="T247" s="28"/>
      <x:c r="U247" s="28"/>
      <x:c r="V247" s="28"/>
      <x:c r="W247" s="28"/>
      <x:c r="X247" s="28"/>
      <x:c r="Y247" s="28"/>
      <x:c r="Z247" s="28"/>
      <x:c r="AA247" s="28"/>
      <x:c r="AB247" s="42"/>
      <x:c r="AC247" s="28"/>
      <x:c r="AD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43"/>
      <x:c r="R248" s="43"/>
      <x:c r="S248" s="28"/>
      <x:c r="T248" s="28"/>
      <x:c r="U248" s="28"/>
      <x:c r="V248" s="28"/>
      <x:c r="W248" s="28"/>
      <x:c r="X248" s="28"/>
      <x:c r="Y248" s="28"/>
      <x:c r="Z248" s="28"/>
      <x:c r="AA248" s="28"/>
      <x:c r="AB248" s="42"/>
      <x:c r="AC248" s="28"/>
      <x:c r="AD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43"/>
      <x:c r="R249" s="43"/>
      <x:c r="S249" s="28"/>
      <x:c r="T249" s="28"/>
      <x:c r="U249" s="28"/>
      <x:c r="V249" s="28"/>
      <x:c r="W249" s="28"/>
      <x:c r="X249" s="28"/>
      <x:c r="Y249" s="28"/>
      <x:c r="Z249" s="28"/>
      <x:c r="AA249" s="28"/>
      <x:c r="AB249" s="42"/>
      <x:c r="AC249" s="28"/>
      <x:c r="AD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43"/>
      <x:c r="R250" s="43"/>
      <x:c r="S250" s="28"/>
      <x:c r="T250" s="28"/>
      <x:c r="U250" s="28"/>
      <x:c r="V250" s="28"/>
      <x:c r="W250" s="28"/>
      <x:c r="X250" s="28"/>
      <x:c r="Y250" s="28"/>
      <x:c r="Z250" s="28"/>
      <x:c r="AA250" s="28"/>
      <x:c r="AB250" s="42"/>
      <x:c r="AC250" s="28"/>
      <x:c r="AD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43"/>
      <x:c r="R251" s="43"/>
      <x:c r="S251" s="28"/>
      <x:c r="T251" s="28"/>
      <x:c r="U251" s="28"/>
      <x:c r="V251" s="28"/>
      <x:c r="W251" s="28"/>
      <x:c r="X251" s="28"/>
      <x:c r="Y251" s="28"/>
      <x:c r="Z251" s="28"/>
      <x:c r="AA251" s="28"/>
      <x:c r="AB251" s="42"/>
      <x:c r="AC251" s="28"/>
      <x:c r="AD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43"/>
      <x:c r="R252" s="43"/>
      <x:c r="S252" s="28"/>
      <x:c r="T252" s="28"/>
      <x:c r="U252" s="28"/>
      <x:c r="V252" s="28"/>
      <x:c r="W252" s="28"/>
      <x:c r="X252" s="28"/>
      <x:c r="Y252" s="28"/>
      <x:c r="Z252" s="28"/>
      <x:c r="AA252" s="28"/>
      <x:c r="AB252" s="42"/>
      <x:c r="AC252" s="28"/>
      <x:c r="AD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43"/>
      <x:c r="R253" s="43"/>
      <x:c r="S253" s="28"/>
      <x:c r="T253" s="28"/>
      <x:c r="U253" s="28"/>
      <x:c r="V253" s="28"/>
      <x:c r="W253" s="28"/>
      <x:c r="X253" s="28"/>
      <x:c r="Y253" s="28"/>
      <x:c r="Z253" s="28"/>
      <x:c r="AA253" s="28"/>
      <x:c r="AB253" s="42"/>
      <x:c r="AC253" s="28"/>
      <x:c r="AD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43"/>
      <x:c r="R254" s="43"/>
      <x:c r="S254" s="28"/>
      <x:c r="T254" s="28"/>
      <x:c r="U254" s="28"/>
      <x:c r="V254" s="28"/>
      <x:c r="W254" s="28"/>
      <x:c r="X254" s="28"/>
      <x:c r="Y254" s="28"/>
      <x:c r="Z254" s="28"/>
      <x:c r="AA254" s="28"/>
      <x:c r="AB254" s="42"/>
      <x:c r="AC254" s="28"/>
      <x:c r="AD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43"/>
      <x:c r="R255" s="43"/>
      <x:c r="S255" s="28"/>
      <x:c r="T255" s="28"/>
      <x:c r="U255" s="28"/>
      <x:c r="V255" s="28"/>
      <x:c r="W255" s="28"/>
      <x:c r="X255" s="28"/>
      <x:c r="Y255" s="28"/>
      <x:c r="Z255" s="28"/>
      <x:c r="AA255" s="28"/>
      <x:c r="AB255" s="42"/>
      <x:c r="AC255" s="28"/>
      <x:c r="AD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43"/>
      <x:c r="R256" s="43"/>
      <x:c r="S256" s="28"/>
      <x:c r="T256" s="28"/>
      <x:c r="U256" s="28"/>
      <x:c r="V256" s="28"/>
      <x:c r="W256" s="28"/>
      <x:c r="X256" s="28"/>
      <x:c r="Y256" s="28"/>
      <x:c r="Z256" s="28"/>
      <x:c r="AA256" s="28"/>
      <x:c r="AB256" s="42"/>
      <x:c r="AC256" s="28"/>
      <x:c r="AD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43"/>
      <x:c r="R257" s="43"/>
      <x:c r="S257" s="28"/>
      <x:c r="T257" s="28"/>
      <x:c r="U257" s="28"/>
      <x:c r="V257" s="28"/>
      <x:c r="W257" s="28"/>
      <x:c r="X257" s="28"/>
      <x:c r="Y257" s="28"/>
      <x:c r="Z257" s="28"/>
      <x:c r="AA257" s="28"/>
      <x:c r="AB257" s="42"/>
      <x:c r="AC257" s="28"/>
      <x:c r="AD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43"/>
      <x:c r="R258" s="43"/>
      <x:c r="S258" s="28"/>
      <x:c r="T258" s="28"/>
      <x:c r="U258" s="28"/>
      <x:c r="V258" s="28"/>
      <x:c r="W258" s="28"/>
      <x:c r="X258" s="28"/>
      <x:c r="Y258" s="28"/>
      <x:c r="Z258" s="28"/>
      <x:c r="AA258" s="28"/>
      <x:c r="AB258" s="42"/>
      <x:c r="AC258" s="28"/>
      <x:c r="AD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43"/>
      <x:c r="R259" s="43"/>
      <x:c r="S259" s="28"/>
      <x:c r="T259" s="28"/>
      <x:c r="U259" s="28"/>
      <x:c r="V259" s="28"/>
      <x:c r="W259" s="28"/>
      <x:c r="X259" s="28"/>
      <x:c r="Y259" s="28"/>
      <x:c r="Z259" s="28"/>
      <x:c r="AA259" s="28"/>
      <x:c r="AB259" s="42"/>
      <x:c r="AC259" s="28"/>
      <x:c r="AD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43"/>
      <x:c r="R260" s="43"/>
      <x:c r="S260" s="28"/>
      <x:c r="T260" s="28"/>
      <x:c r="U260" s="28"/>
      <x:c r="V260" s="28"/>
      <x:c r="W260" s="28"/>
      <x:c r="X260" s="28"/>
      <x:c r="Y260" s="28"/>
      <x:c r="Z260" s="28"/>
      <x:c r="AA260" s="28"/>
      <x:c r="AB260" s="42"/>
      <x:c r="AC260" s="28"/>
      <x:c r="AD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43"/>
      <x:c r="R261" s="43"/>
      <x:c r="S261" s="28"/>
      <x:c r="T261" s="28"/>
      <x:c r="U261" s="28"/>
      <x:c r="V261" s="28"/>
      <x:c r="W261" s="28"/>
      <x:c r="X261" s="28"/>
      <x:c r="Y261" s="28"/>
      <x:c r="Z261" s="28"/>
      <x:c r="AA261" s="28"/>
      <x:c r="AB261" s="42"/>
      <x:c r="AC261" s="28"/>
      <x:c r="AD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43"/>
      <x:c r="R262" s="43"/>
      <x:c r="S262" s="28"/>
      <x:c r="T262" s="28"/>
      <x:c r="U262" s="28"/>
      <x:c r="V262" s="28"/>
      <x:c r="W262" s="28"/>
      <x:c r="X262" s="28"/>
      <x:c r="Y262" s="28"/>
      <x:c r="Z262" s="28"/>
      <x:c r="AA262" s="28"/>
      <x:c r="AB262" s="42"/>
      <x:c r="AC262" s="28"/>
      <x:c r="AD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43"/>
      <x:c r="R263" s="43"/>
      <x:c r="S263" s="28"/>
      <x:c r="T263" s="28"/>
      <x:c r="U263" s="28"/>
      <x:c r="V263" s="28"/>
      <x:c r="W263" s="28"/>
      <x:c r="X263" s="28"/>
      <x:c r="Y263" s="28"/>
      <x:c r="Z263" s="28"/>
      <x:c r="AA263" s="28"/>
      <x:c r="AB263" s="42"/>
      <x:c r="AC263" s="28"/>
      <x:c r="AD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43"/>
      <x:c r="R264" s="43"/>
      <x:c r="S264" s="28"/>
      <x:c r="T264" s="28"/>
      <x:c r="U264" s="28"/>
      <x:c r="V264" s="28"/>
      <x:c r="W264" s="28"/>
      <x:c r="X264" s="28"/>
      <x:c r="Y264" s="28"/>
      <x:c r="Z264" s="28"/>
      <x:c r="AA264" s="28"/>
      <x:c r="AB264" s="42"/>
      <x:c r="AC264" s="28"/>
      <x:c r="AD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43"/>
      <x:c r="R265" s="43"/>
      <x:c r="S265" s="28"/>
      <x:c r="T265" s="28"/>
      <x:c r="U265" s="28"/>
      <x:c r="V265" s="28"/>
      <x:c r="W265" s="28"/>
      <x:c r="X265" s="28"/>
      <x:c r="Y265" s="28"/>
      <x:c r="Z265" s="28"/>
      <x:c r="AA265" s="28"/>
      <x:c r="AB265" s="42"/>
      <x:c r="AC265" s="28"/>
      <x:c r="AD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43"/>
      <x:c r="R266" s="43"/>
      <x:c r="S266" s="28"/>
      <x:c r="T266" s="28"/>
      <x:c r="U266" s="28"/>
      <x:c r="V266" s="28"/>
      <x:c r="W266" s="28"/>
      <x:c r="X266" s="28"/>
      <x:c r="Y266" s="28"/>
      <x:c r="Z266" s="28"/>
      <x:c r="AA266" s="28"/>
      <x:c r="AB266" s="42"/>
      <x:c r="AC266" s="28"/>
      <x:c r="AD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43"/>
      <x:c r="R267" s="43"/>
      <x:c r="S267" s="28"/>
      <x:c r="T267" s="28"/>
      <x:c r="U267" s="28"/>
      <x:c r="V267" s="28"/>
      <x:c r="W267" s="28"/>
      <x:c r="X267" s="28"/>
      <x:c r="Y267" s="28"/>
      <x:c r="Z267" s="28"/>
      <x:c r="AA267" s="28"/>
      <x:c r="AB267" s="42"/>
      <x:c r="AC267" s="28"/>
      <x:c r="AD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43"/>
      <x:c r="R268" s="43"/>
      <x:c r="S268" s="28"/>
      <x:c r="T268" s="28"/>
      <x:c r="U268" s="28"/>
      <x:c r="V268" s="28"/>
      <x:c r="W268" s="28"/>
      <x:c r="X268" s="28"/>
      <x:c r="Y268" s="28"/>
      <x:c r="Z268" s="28"/>
      <x:c r="AA268" s="28"/>
      <x:c r="AB268" s="42"/>
      <x:c r="AC268" s="28"/>
      <x:c r="AD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43"/>
      <x:c r="R269" s="43"/>
      <x:c r="S269" s="28"/>
      <x:c r="T269" s="28"/>
      <x:c r="U269" s="28"/>
      <x:c r="V269" s="28"/>
      <x:c r="W269" s="28"/>
      <x:c r="X269" s="28"/>
      <x:c r="Y269" s="28"/>
      <x:c r="Z269" s="28"/>
      <x:c r="AA269" s="28"/>
      <x:c r="AB269" s="42"/>
      <x:c r="AC269" s="28"/>
      <x:c r="AD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43"/>
      <x:c r="R270" s="43"/>
      <x:c r="S270" s="28"/>
      <x:c r="T270" s="28"/>
      <x:c r="U270" s="28"/>
      <x:c r="V270" s="28"/>
      <x:c r="W270" s="28"/>
      <x:c r="X270" s="28"/>
      <x:c r="Y270" s="28"/>
      <x:c r="Z270" s="28"/>
      <x:c r="AA270" s="28"/>
      <x:c r="AB270" s="42"/>
      <x:c r="AC270" s="28"/>
      <x:c r="AD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43"/>
      <x:c r="R271" s="43"/>
      <x:c r="S271" s="28"/>
      <x:c r="T271" s="28"/>
      <x:c r="U271" s="28"/>
      <x:c r="V271" s="28"/>
      <x:c r="W271" s="28"/>
      <x:c r="X271" s="28"/>
      <x:c r="Y271" s="28"/>
      <x:c r="Z271" s="28"/>
      <x:c r="AA271" s="28"/>
      <x:c r="AB271" s="42"/>
      <x:c r="AC271" s="28"/>
      <x:c r="AD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43"/>
      <x:c r="R272" s="43"/>
      <x:c r="S272" s="28"/>
      <x:c r="T272" s="28"/>
      <x:c r="U272" s="28"/>
      <x:c r="V272" s="28"/>
      <x:c r="W272" s="28"/>
      <x:c r="X272" s="28"/>
      <x:c r="Y272" s="28"/>
      <x:c r="Z272" s="28"/>
      <x:c r="AA272" s="28"/>
      <x:c r="AB272" s="42"/>
      <x:c r="AC272" s="28"/>
      <x:c r="AD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43"/>
      <x:c r="R273" s="43"/>
      <x:c r="S273" s="28"/>
      <x:c r="T273" s="28"/>
      <x:c r="U273" s="28"/>
      <x:c r="V273" s="28"/>
      <x:c r="W273" s="28"/>
      <x:c r="X273" s="28"/>
      <x:c r="Y273" s="28"/>
      <x:c r="Z273" s="28"/>
      <x:c r="AA273" s="28"/>
      <x:c r="AB273" s="42"/>
      <x:c r="AC273" s="28"/>
      <x:c r="AD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43"/>
      <x:c r="R274" s="43"/>
      <x:c r="S274" s="28"/>
      <x:c r="T274" s="28"/>
      <x:c r="U274" s="28"/>
      <x:c r="V274" s="28"/>
      <x:c r="W274" s="28"/>
      <x:c r="X274" s="28"/>
      <x:c r="Y274" s="28"/>
      <x:c r="Z274" s="28"/>
      <x:c r="AA274" s="28"/>
      <x:c r="AB274" s="42"/>
      <x:c r="AC274" s="28"/>
      <x:c r="AD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43"/>
      <x:c r="R275" s="43"/>
      <x:c r="S275" s="28"/>
      <x:c r="T275" s="28"/>
      <x:c r="U275" s="28"/>
      <x:c r="V275" s="28"/>
      <x:c r="W275" s="28"/>
      <x:c r="X275" s="28"/>
      <x:c r="Y275" s="28"/>
      <x:c r="Z275" s="28"/>
      <x:c r="AA275" s="28"/>
      <x:c r="AB275" s="42"/>
      <x:c r="AC275" s="28"/>
      <x:c r="AD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43"/>
      <x:c r="R276" s="43"/>
      <x:c r="S276" s="28"/>
      <x:c r="T276" s="28"/>
      <x:c r="U276" s="28"/>
      <x:c r="V276" s="28"/>
      <x:c r="W276" s="28"/>
      <x:c r="X276" s="28"/>
      <x:c r="Y276" s="28"/>
      <x:c r="Z276" s="28"/>
      <x:c r="AA276" s="28"/>
      <x:c r="AB276" s="42"/>
      <x:c r="AC276" s="28"/>
      <x:c r="AD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43"/>
      <x:c r="R277" s="43"/>
      <x:c r="S277" s="28"/>
      <x:c r="T277" s="28"/>
      <x:c r="U277" s="28"/>
      <x:c r="V277" s="28"/>
      <x:c r="W277" s="28"/>
      <x:c r="X277" s="28"/>
      <x:c r="Y277" s="28"/>
      <x:c r="Z277" s="28"/>
      <x:c r="AA277" s="28"/>
      <x:c r="AB277" s="42"/>
      <x:c r="AC277" s="28"/>
      <x:c r="AD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43"/>
      <x:c r="R278" s="43"/>
      <x:c r="S278" s="28"/>
      <x:c r="T278" s="28"/>
      <x:c r="U278" s="28"/>
      <x:c r="V278" s="28"/>
      <x:c r="W278" s="28"/>
      <x:c r="X278" s="28"/>
      <x:c r="Y278" s="28"/>
      <x:c r="Z278" s="28"/>
      <x:c r="AA278" s="28"/>
      <x:c r="AB278" s="42"/>
      <x:c r="AC278" s="28"/>
      <x:c r="AD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43"/>
      <x:c r="R279" s="43"/>
      <x:c r="S279" s="28"/>
      <x:c r="T279" s="28"/>
      <x:c r="U279" s="28"/>
      <x:c r="V279" s="28"/>
      <x:c r="W279" s="28"/>
      <x:c r="X279" s="28"/>
      <x:c r="Y279" s="28"/>
      <x:c r="Z279" s="28"/>
      <x:c r="AA279" s="28"/>
      <x:c r="AB279" s="42"/>
      <x:c r="AC279" s="28"/>
      <x:c r="AD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43"/>
      <x:c r="R280" s="43"/>
      <x:c r="S280" s="28"/>
      <x:c r="T280" s="28"/>
      <x:c r="U280" s="28"/>
      <x:c r="V280" s="28"/>
      <x:c r="W280" s="28"/>
      <x:c r="X280" s="28"/>
      <x:c r="Y280" s="28"/>
      <x:c r="Z280" s="28"/>
      <x:c r="AA280" s="28"/>
      <x:c r="AB280" s="42"/>
      <x:c r="AC280" s="28"/>
      <x:c r="AD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43"/>
      <x:c r="R281" s="43"/>
      <x:c r="S281" s="28"/>
      <x:c r="T281" s="28"/>
      <x:c r="U281" s="28"/>
      <x:c r="V281" s="28"/>
      <x:c r="W281" s="28"/>
      <x:c r="X281" s="28"/>
      <x:c r="Y281" s="28"/>
      <x:c r="Z281" s="28"/>
      <x:c r="AA281" s="28"/>
      <x:c r="AB281" s="42"/>
      <x:c r="AC281" s="28"/>
      <x:c r="AD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43"/>
      <x:c r="R282" s="43"/>
      <x:c r="S282" s="28"/>
      <x:c r="T282" s="28"/>
      <x:c r="U282" s="28"/>
      <x:c r="V282" s="28"/>
      <x:c r="W282" s="28"/>
      <x:c r="X282" s="28"/>
      <x:c r="Y282" s="28"/>
      <x:c r="Z282" s="28"/>
      <x:c r="AA282" s="28"/>
      <x:c r="AB282" s="42"/>
      <x:c r="AC282" s="28"/>
      <x:c r="AD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43"/>
      <x:c r="R283" s="43"/>
      <x:c r="S283" s="28"/>
      <x:c r="T283" s="28"/>
      <x:c r="U283" s="28"/>
      <x:c r="V283" s="28"/>
      <x:c r="W283" s="28"/>
      <x:c r="X283" s="28"/>
      <x:c r="Y283" s="28"/>
      <x:c r="Z283" s="28"/>
      <x:c r="AA283" s="28"/>
      <x:c r="AB283" s="42"/>
      <x:c r="AC283" s="28"/>
      <x:c r="AD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43"/>
      <x:c r="R284" s="43"/>
      <x:c r="S284" s="28"/>
      <x:c r="T284" s="28"/>
      <x:c r="U284" s="28"/>
      <x:c r="V284" s="28"/>
      <x:c r="W284" s="28"/>
      <x:c r="X284" s="28"/>
      <x:c r="Y284" s="28"/>
      <x:c r="Z284" s="28"/>
      <x:c r="AA284" s="28"/>
      <x:c r="AB284" s="42"/>
      <x:c r="AC284" s="28"/>
      <x:c r="AD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43"/>
      <x:c r="R285" s="43"/>
      <x:c r="S285" s="28"/>
      <x:c r="T285" s="28"/>
      <x:c r="U285" s="28"/>
      <x:c r="V285" s="28"/>
      <x:c r="W285" s="28"/>
      <x:c r="X285" s="28"/>
      <x:c r="Y285" s="28"/>
      <x:c r="Z285" s="28"/>
      <x:c r="AA285" s="28"/>
      <x:c r="AB285" s="42"/>
      <x:c r="AC285" s="28"/>
      <x:c r="AD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43"/>
      <x:c r="R286" s="43"/>
      <x:c r="S286" s="28"/>
      <x:c r="T286" s="28"/>
      <x:c r="U286" s="28"/>
      <x:c r="V286" s="28"/>
      <x:c r="W286" s="28"/>
      <x:c r="X286" s="28"/>
      <x:c r="Y286" s="28"/>
      <x:c r="Z286" s="28"/>
      <x:c r="AA286" s="28"/>
      <x:c r="AB286" s="42"/>
      <x:c r="AC286" s="28"/>
      <x:c r="AD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43"/>
      <x:c r="R287" s="43"/>
      <x:c r="S287" s="28"/>
      <x:c r="T287" s="28"/>
      <x:c r="U287" s="28"/>
      <x:c r="V287" s="28"/>
      <x:c r="W287" s="28"/>
      <x:c r="X287" s="28"/>
      <x:c r="Y287" s="28"/>
      <x:c r="Z287" s="28"/>
      <x:c r="AA287" s="28"/>
      <x:c r="AB287" s="42"/>
      <x:c r="AC287" s="28"/>
      <x:c r="AD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43"/>
      <x:c r="R288" s="43"/>
      <x:c r="S288" s="28"/>
      <x:c r="T288" s="28"/>
      <x:c r="U288" s="28"/>
      <x:c r="V288" s="28"/>
      <x:c r="W288" s="28"/>
      <x:c r="X288" s="28"/>
      <x:c r="Y288" s="28"/>
      <x:c r="Z288" s="28"/>
      <x:c r="AA288" s="28"/>
      <x:c r="AB288" s="42"/>
      <x:c r="AC288" s="28"/>
      <x:c r="AD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43"/>
      <x:c r="R289" s="43"/>
      <x:c r="S289" s="28"/>
      <x:c r="T289" s="28"/>
      <x:c r="U289" s="28"/>
      <x:c r="V289" s="28"/>
      <x:c r="W289" s="28"/>
      <x:c r="X289" s="28"/>
      <x:c r="Y289" s="28"/>
      <x:c r="Z289" s="28"/>
      <x:c r="AA289" s="28"/>
      <x:c r="AB289" s="42"/>
      <x:c r="AC289" s="28"/>
      <x:c r="AD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43"/>
      <x:c r="R290" s="43"/>
      <x:c r="S290" s="28"/>
      <x:c r="T290" s="28"/>
      <x:c r="U290" s="28"/>
      <x:c r="V290" s="28"/>
      <x:c r="W290" s="28"/>
      <x:c r="X290" s="28"/>
      <x:c r="Y290" s="28"/>
      <x:c r="Z290" s="28"/>
      <x:c r="AA290" s="28"/>
      <x:c r="AB290" s="42"/>
      <x:c r="AC290" s="28"/>
      <x:c r="AD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43"/>
      <x:c r="R291" s="43"/>
      <x:c r="S291" s="28"/>
      <x:c r="T291" s="28"/>
      <x:c r="U291" s="28"/>
      <x:c r="V291" s="28"/>
      <x:c r="W291" s="28"/>
      <x:c r="X291" s="28"/>
      <x:c r="Y291" s="28"/>
      <x:c r="Z291" s="28"/>
      <x:c r="AA291" s="28"/>
      <x:c r="AB291" s="42"/>
      <x:c r="AC291" s="28"/>
      <x:c r="AD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43"/>
      <x:c r="R292" s="43"/>
      <x:c r="S292" s="28"/>
      <x:c r="T292" s="28"/>
      <x:c r="U292" s="28"/>
      <x:c r="V292" s="28"/>
      <x:c r="W292" s="28"/>
      <x:c r="X292" s="28"/>
      <x:c r="Y292" s="28"/>
      <x:c r="Z292" s="28"/>
      <x:c r="AA292" s="28"/>
      <x:c r="AB292" s="42"/>
      <x:c r="AC292" s="28"/>
      <x:c r="AD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43"/>
      <x:c r="R293" s="43"/>
      <x:c r="S293" s="28"/>
      <x:c r="T293" s="28"/>
      <x:c r="U293" s="28"/>
      <x:c r="V293" s="28"/>
      <x:c r="W293" s="28"/>
      <x:c r="X293" s="28"/>
      <x:c r="Y293" s="28"/>
      <x:c r="Z293" s="28"/>
      <x:c r="AA293" s="28"/>
      <x:c r="AB293" s="42"/>
      <x:c r="AC293" s="28"/>
      <x:c r="AD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43"/>
      <x:c r="R294" s="43"/>
      <x:c r="S294" s="28"/>
      <x:c r="T294" s="28"/>
      <x:c r="U294" s="28"/>
      <x:c r="V294" s="28"/>
      <x:c r="W294" s="28"/>
      <x:c r="X294" s="28"/>
      <x:c r="Y294" s="28"/>
      <x:c r="Z294" s="28"/>
      <x:c r="AA294" s="28"/>
      <x:c r="AB294" s="42"/>
      <x:c r="AC294" s="28"/>
      <x:c r="AD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43"/>
      <x:c r="R295" s="43"/>
      <x:c r="S295" s="28"/>
      <x:c r="T295" s="28"/>
      <x:c r="U295" s="28"/>
      <x:c r="V295" s="28"/>
      <x:c r="W295" s="28"/>
      <x:c r="X295" s="28"/>
      <x:c r="Y295" s="28"/>
      <x:c r="Z295" s="28"/>
      <x:c r="AA295" s="28"/>
      <x:c r="AB295" s="42"/>
      <x:c r="AC295" s="28"/>
      <x:c r="AD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43"/>
      <x:c r="R296" s="43"/>
      <x:c r="S296" s="28"/>
      <x:c r="T296" s="28"/>
      <x:c r="U296" s="28"/>
      <x:c r="V296" s="28"/>
      <x:c r="W296" s="28"/>
      <x:c r="X296" s="28"/>
      <x:c r="Y296" s="28"/>
      <x:c r="Z296" s="28"/>
      <x:c r="AA296" s="28"/>
      <x:c r="AB296" s="42"/>
      <x:c r="AC296" s="28"/>
      <x:c r="AD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43"/>
      <x:c r="R297" s="43"/>
      <x:c r="S297" s="28"/>
      <x:c r="T297" s="28"/>
      <x:c r="U297" s="28"/>
      <x:c r="V297" s="28"/>
      <x:c r="W297" s="28"/>
      <x:c r="X297" s="28"/>
      <x:c r="Y297" s="28"/>
      <x:c r="Z297" s="28"/>
      <x:c r="AA297" s="28"/>
      <x:c r="AB297" s="42"/>
      <x:c r="AC297" s="28"/>
      <x:c r="AD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43"/>
      <x:c r="R298" s="43"/>
      <x:c r="S298" s="28"/>
      <x:c r="T298" s="28"/>
      <x:c r="U298" s="28"/>
      <x:c r="V298" s="28"/>
      <x:c r="W298" s="28"/>
      <x:c r="X298" s="28"/>
      <x:c r="Y298" s="28"/>
      <x:c r="Z298" s="28"/>
      <x:c r="AA298" s="28"/>
      <x:c r="AB298" s="42"/>
      <x:c r="AC298" s="28"/>
      <x:c r="AD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43"/>
      <x:c r="R299" s="43"/>
      <x:c r="S299" s="28"/>
      <x:c r="T299" s="28"/>
      <x:c r="U299" s="28"/>
      <x:c r="V299" s="28"/>
      <x:c r="W299" s="28"/>
      <x:c r="X299" s="28"/>
      <x:c r="Y299" s="28"/>
      <x:c r="Z299" s="28"/>
      <x:c r="AA299" s="28"/>
      <x:c r="AB299" s="42"/>
      <x:c r="AC299" s="28"/>
      <x:c r="AD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43"/>
      <x:c r="R300" s="43"/>
      <x:c r="S300" s="28"/>
      <x:c r="T300" s="28"/>
      <x:c r="U300" s="28"/>
      <x:c r="V300" s="28"/>
      <x:c r="W300" s="28"/>
      <x:c r="X300" s="28"/>
      <x:c r="Y300" s="28"/>
      <x:c r="Z300" s="28"/>
      <x:c r="AA300" s="28"/>
      <x:c r="AB300" s="42"/>
      <x:c r="AC300" s="28"/>
      <x:c r="AD300" s="28"/>
    </x:row>
  </x:sheetData>
  <x:dataValidations count="2">
    <x:dataValidation type="list" sqref="O2:O300">
      <x:formula1>"Backlog,Planejado,Produção,Revisão,Aprovado,Agendado,Publicado,Medido,Reciclar,Arquivado"</x:formula1>
    </x:dataValidation>
    <x:dataValidation type="list" sqref="AC2:AC300">
      <x:formula1>"Novo,Reutilizar,Atualizar,Evergreen,Sazonal,Arquivar"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1adf0c34c44d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24" hidden="0" customWidth="1"/>
    <x:col min="5" max="5" width="28" hidden="0" customWidth="1"/>
    <x:col min="6" max="6" width="46" hidden="0" customWidth="1"/>
  </x:cols>
  <x:sheetData>
    <x:row r="1">
      <x:c r="A1" s="16" t="str">
        <x:v>order</x:v>
      </x:c>
      <x:c r="B1" s="33" t="str">
        <x:v>editorial_stage</x:v>
      </x:c>
      <x:c r="C1" s="33" t="str">
        <x:v>question</x:v>
      </x:c>
      <x:c r="D1" s="33" t="str">
        <x:v>purpose</x:v>
      </x:c>
      <x:c r="E1" s="33" t="str">
        <x:v>typical_output</x:v>
      </x:c>
      <x:c r="F1" s="17" t="str">
        <x:v>rule</x:v>
      </x:c>
    </x:row>
    <x:row r="2">
      <x:c r="A2" s="28" t="n">
        <x:v>1</x:v>
      </x:c>
      <x:c r="B2" s="28" t="str">
        <x:v>CENA</x:v>
      </x:c>
      <x:c r="C2" s="28" t="str">
        <x:v>Onde esse problema aparece na vida real?</x:v>
      </x:c>
      <x:c r="D2" s="28" t="str">
        <x:v>Contextualizar</x:v>
      </x:c>
      <x:c r="E2" s="28" t="str">
        <x:v>Imagem/cena cotidiana</x:v>
      </x:c>
      <x:c r="F2" s="28" t="str">
        <x:v>Começar pelo ambiente, não pela teoria.</x:v>
      </x:c>
    </x:row>
    <x:row r="3">
      <x:c r="A3" s="28" t="n">
        <x:v>2</x:v>
      </x:c>
      <x:c r="B3" s="28" t="str">
        <x:v>PROBLEMA</x:v>
      </x:c>
      <x:c r="C3" s="28" t="str">
        <x:v>O que a pessoa percebe?</x:v>
      </x:c>
      <x:c r="D3" s="28" t="str">
        <x:v>Reconhecimento</x:v>
      </x:c>
      <x:c r="E3" s="28" t="str">
        <x:v>Dor/situação</x:v>
      </x:c>
      <x:c r="F3" s="28" t="str">
        <x:v>Descrever sem diagnosticar.</x:v>
      </x:c>
    </x:row>
    <x:row r="4">
      <x:c r="A4" s="28" t="n">
        <x:v>3</x:v>
      </x:c>
      <x:c r="B4" s="28" t="str">
        <x:v>RECONHECIMENTO</x:v>
      </x:c>
      <x:c r="C4" s="28" t="str">
        <x:v>Como a pessoa identifica isso nela/contexto?</x:v>
      </x:c>
      <x:c r="D4" s="28" t="str">
        <x:v>Autoidentificação</x:v>
      </x:c>
      <x:c r="E4" s="28" t="str">
        <x:v>Sinais observáveis</x:v>
      </x:c>
      <x:c r="F4" s="28" t="str">
        <x:v>Usar manifestações concretas.</x:v>
      </x:c>
    </x:row>
    <x:row r="5">
      <x:c r="A5" s="28" t="n">
        <x:v>4</x:v>
      </x:c>
      <x:c r="B5" s="28" t="str">
        <x:v>EXPLICAÇÃO</x:v>
      </x:c>
      <x:c r="C5" s="28" t="str">
        <x:v>Qual mecanismo/princípio explica?</x:v>
      </x:c>
      <x:c r="D5" s="28" t="str">
        <x:v>Educação</x:v>
      </x:c>
      <x:c r="E5" s="28" t="str">
        <x:v>Mecanismo + evidência</x:v>
      </x:c>
      <x:c r="F5" s="28" t="str">
        <x:v>Separar evidência de inferência.</x:v>
      </x:c>
    </x:row>
    <x:row r="6">
      <x:c r="A6" s="28" t="n">
        <x:v>5</x:v>
      </x:c>
      <x:c r="B6" s="28" t="str">
        <x:v>SOLUÇÃO</x:v>
      </x:c>
      <x:c r="C6" s="28" t="str">
        <x:v>Qual intervenção reduz a barreira?</x:v>
      </x:c>
      <x:c r="D6" s="28" t="str">
        <x:v>Direção</x:v>
      </x:c>
      <x:c r="E6" s="28" t="str">
        <x:v>Intervenção</x:v>
      </x:c>
      <x:c r="F6" s="28" t="str">
        <x:v>Não prometer sucesso; reduzir exposição/custo.</x:v>
      </x:c>
    </x:row>
    <x:row r="7">
      <x:c r="A7" s="28" t="n">
        <x:v>6</x:v>
      </x:c>
      <x:c r="B7" s="28" t="str">
        <x:v>DEMONSTRAÇÃO</x:v>
      </x:c>
      <x:c r="C7" s="28" t="str">
        <x:v>Como mostrar antes/depois?</x:v>
      </x:c>
      <x:c r="D7" s="28" t="str">
        <x:v>Prova visual</x:v>
      </x:c>
      <x:c r="E7" s="28" t="str">
        <x:v>Exemplo transformado</x:v>
      </x:c>
      <x:c r="F7" s="28" t="str">
        <x:v>Resultado deve ser observável.</x:v>
      </x:c>
    </x:row>
    <x:row r="8">
      <x:c r="A8" s="28" t="n">
        <x:v>7</x:v>
      </x:c>
      <x:c r="B8" s="28" t="str">
        <x:v>FERRAMENTA</x:v>
      </x:c>
      <x:c r="C8" s="28" t="str">
        <x:v>O que a pessoa usa agora?</x:v>
      </x:c>
      <x:c r="D8" s="28" t="str">
        <x:v>Aplicação</x:v>
      </x:c>
      <x:c r="E8" s="28" t="str">
        <x:v>Conversor/checklist/mapa/etc.</x:v>
      </x:c>
      <x:c r="F8" s="28" t="str">
        <x:v>Ferramenta materializa o método.</x:v>
      </x:c>
    </x:row>
    <x:row r="9">
      <x:c r="A9" s="28" t="n">
        <x:v>8</x:v>
      </x:c>
      <x:c r="B9" s="28" t="str">
        <x:v>RESULTADO</x:v>
      </x:c>
      <x:c r="C9" s="28" t="str">
        <x:v>O que deve mudar?</x:v>
      </x:c>
      <x:c r="D9" s="28" t="str">
        <x:v>Valor</x:v>
      </x:c>
      <x:c r="E9" s="28" t="str">
        <x:v>Métrica/resultado</x:v>
      </x:c>
      <x:c r="F9" s="28" t="str">
        <x:v>Registrar baseline e evidência de uso.</x:v>
      </x:c>
    </x:row>
    <x:row r="10">
      <x:c r="A10" s="28" t="n">
        <x:v>9</x:v>
      </x:c>
      <x:c r="B10" s="28" t="str">
        <x:v>CTA</x:v>
      </x:c>
      <x:c r="C10" s="28" t="str">
        <x:v>Qual é a próxima ação?</x:v>
      </x:c>
      <x:c r="D10" s="28" t="str">
        <x:v>Continuidade</x:v>
      </x:c>
      <x:c r="E10" s="28" t="str">
        <x:v>CTA único</x:v>
      </x:c>
      <x:c r="F10" s="28" t="str">
        <x:v>Um asset = uma próxima ação principal.</x:v>
      </x:c>
    </x:row>
  </x:sheetData>
  <x:pageMargins left="0.7" right="0.7" top="0.75" bottom="0.75" header="0.3" footer="0.3"/>
  <x:tableParts count="1">
    <x:tablePart xmlns:r="http://schemas.openxmlformats.org/officeDocument/2006/relationships" r:id="R7dd5f3921dab4d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26" hidden="0" customWidth="1"/>
    <x:col min="6" max="6" width="20" hidden="0" customWidth="1"/>
    <x:col min="7" max="7" width="30" hidden="0" customWidth="1"/>
    <x:col min="8" max="8" width="18" hidden="0" customWidth="1"/>
    <x:col min="9" max="9" width="46" hidden="0" customWidth="1"/>
  </x:cols>
  <x:sheetData>
    <x:row r="1">
      <x:c r="A1" s="16" t="str">
        <x:v>cta_id</x:v>
      </x:c>
      <x:c r="B1" s="33" t="str">
        <x:v>cta_name</x:v>
      </x:c>
      <x:c r="C1" s="33" t="str">
        <x:v>intent</x:v>
      </x:c>
      <x:c r="D1" s="33" t="str">
        <x:v>funnel_stage</x:v>
      </x:c>
      <x:c r="E1" s="33" t="str">
        <x:v>next_step</x:v>
      </x:c>
      <x:c r="F1" s="33" t="str">
        <x:v>destination_type</x:v>
      </x:c>
      <x:c r="G1" s="33" t="str">
        <x:v>destination</x:v>
      </x:c>
      <x:c r="H1" s="33" t="str">
        <x:v>primary_metric</x:v>
      </x:c>
      <x:c r="I1" s="17" t="str">
        <x:v>copy_template</x:v>
      </x:c>
    </x:row>
    <x:row r="2">
      <x:c r="A2" s="28" t="str">
        <x:v>RC-CTA-001</x:v>
      </x:c>
      <x:c r="B2" s="28" t="str">
        <x:v>Teste com seu relatório</x:v>
      </x:c>
      <x:c r="C2" s="28" t="str">
        <x:v>Uso</x:v>
      </x:c>
      <x:c r="D2" s="28" t="str">
        <x:v>Resolução</x:v>
      </x:c>
      <x:c r="E2" s="28" t="str">
        <x:v>Usar ferramenta</x:v>
      </x:c>
      <x:c r="F2" s="28" t="str">
        <x:v>Ferramenta</x:v>
      </x:c>
      <x:c r="G2" s="28" t="str">
        <x:v>Conversor de Relatório</x:v>
      </x:c>
      <x:c r="H2" s="28" t="str">
        <x:v>Usos</x:v>
      </x:c>
      <x:c r="I2" s="28" t="str">
        <x:v>Teste com seu relatório e compare o antes e depois.</x:v>
      </x:c>
    </x:row>
    <x:row r="3">
      <x:c r="A3" s="28" t="str">
        <x:v>RC-CTA-002</x:v>
      </x:c>
      <x:c r="B3" s="28" t="str">
        <x:v>Acesse o guia</x:v>
      </x:c>
      <x:c r="C3" s="28" t="str">
        <x:v>Aprofundamento</x:v>
      </x:c>
      <x:c r="D3" s="28" t="str">
        <x:v>Aprofundamento</x:v>
      </x:c>
      <x:c r="E3" s="28" t="str">
        <x:v>Abrir guia/recurso</x:v>
      </x:c>
      <x:c r="F3" s="28" t="str">
        <x:v>Conteúdo</x:v>
      </x:c>
      <x:c r="G3" s="28" t="str">
        <x:v>Guia Custo Cognitivo</x:v>
      </x:c>
      <x:c r="H3" s="28" t="str">
        <x:v>Cliques</x:v>
      </x:c>
      <x:c r="I3" s="28" t="str">
        <x:v>Acesse o guia e aplique o processo completo.</x:v>
      </x:c>
    </x:row>
    <x:row r="4">
      <x:c r="A4" s="28" t="str">
        <x:v>RC-CTA-003</x:v>
      </x:c>
      <x:c r="B4" s="28" t="str">
        <x:v>Veja o método completo</x:v>
      </x:c>
      <x:c r="C4" s="28" t="str">
        <x:v>Autoridade</x:v>
      </x:c>
      <x:c r="D4" s="28" t="str">
        <x:v>Aprofundamento</x:v>
      </x:c>
      <x:c r="E4" s="28" t="str">
        <x:v>Ler artigo/método</x:v>
      </x:c>
      <x:c r="F4" s="28" t="str">
        <x:v>Blog</x:v>
      </x:c>
      <x:c r="G4" s="28" t="str">
        <x:v>Gestão de Riscos Cognitivos</x:v>
      </x:c>
      <x:c r="H4" s="28" t="str">
        <x:v>Leitura</x:v>
      </x:c>
      <x:c r="I4" s="28" t="str">
        <x:v>Veja o método completo e entenda por que a intervenção funciona.</x:v>
      </x:c>
    </x:row>
    <x:row r="5">
      <x:c r="A5" s="28" t="str">
        <x:v>RC-CTA-004</x:v>
      </x:c>
      <x:c r="B5" s="28" t="str">
        <x:v>Envie seu problema</x:v>
      </x:c>
      <x:c r="C5" s="28" t="str">
        <x:v>Pesquisa/Lead</x:v>
      </x:c>
      <x:c r="D5" s="28" t="str">
        <x:v>Conversão</x:v>
      </x:c>
      <x:c r="E5" s="28" t="str">
        <x:v>Submeter problema</x:v>
      </x:c>
      <x:c r="F5" s="28" t="str">
        <x:v>Formulário</x:v>
      </x:c>
      <x:c r="G5" s="28" t="str">
        <x:v>Banco de Problemas Cognitivos</x:v>
      </x:c>
      <x:c r="H5" s="28" t="str">
        <x:v>Submissões</x:v>
      </x:c>
      <x:c r="I5" s="28" t="str">
        <x:v>Envie uma situação real para análise e transformação.</x:v>
      </x:c>
    </x:row>
    <x:row r="6">
      <x:c r="A6" s="28" t="str">
        <x:v>RC-CTA-005</x:v>
      </x:c>
      <x:c r="B6" s="28" t="str">
        <x:v>Peça ajuda</x:v>
      </x:c>
      <x:c r="C6" s="28" t="str">
        <x:v>Comercial</x:v>
      </x:c>
      <x:c r="D6" s="28" t="str">
        <x:v>Conversão</x:v>
      </x:c>
      <x:c r="E6" s="28" t="str">
        <x:v>Solicitar atendimento</x:v>
      </x:c>
      <x:c r="F6" s="28" t="str">
        <x:v>Serviço</x:v>
      </x:c>
      <x:c r="G6" s="28" t="str">
        <x:v>Consultoria Executar</x:v>
      </x:c>
      <x:c r="H6" s="28" t="str">
        <x:v>Leads</x:v>
      </x:c>
      <x:c r="I6" s="28" t="str">
        <x:v>Se o problema exige adaptação ao seu contexto, peça uma análise.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</x:row>
  </x:sheetData>
  <x:pageMargins left="0.7" right="0.7" top="0.75" bottom="0.75" header="0.3" footer="0.3"/>
  <x:tableParts count="1">
    <x:tablePart xmlns:r="http://schemas.openxmlformats.org/officeDocument/2006/relationships" r:id="R13de4729088948e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8" max="8" width="14" hidden="0" customWidth="1"/>
    <x:col min="9" max="9" width="18" hidden="0" customWidth="1"/>
    <x:col min="10" max="10" width="14" hidden="0" customWidth="1"/>
    <x:col min="11" max="11" width="12" hidden="0" customWidth="1"/>
    <x:col min="12" max="12" width="16" hidden="0" customWidth="1"/>
    <x:col min="13" max="13" width="16" hidden="0" customWidth="1"/>
    <x:col min="14" max="14" width="18" hidden="0" customWidth="1"/>
    <x:col min="15" max="15" width="38" hidden="0" customWidth="1"/>
  </x:cols>
  <x:sheetData>
    <x:row r="1">
      <x:c r="A1" s="16" t="str">
        <x:v>problem_id</x:v>
      </x:c>
      <x:c r="B1" s="33" t="str">
        <x:v>period</x:v>
      </x:c>
      <x:c r="C1" s="33" t="str">
        <x:v>content_seen</x:v>
      </x:c>
      <x:c r="D1" s="33" t="str">
        <x:v>saved</x:v>
      </x:c>
      <x:c r="E1" s="33" t="str">
        <x:v>shared</x:v>
      </x:c>
      <x:c r="F1" s="33" t="str">
        <x:v>tool_uses</x:v>
      </x:c>
      <x:c r="G1" s="33" t="str">
        <x:v>returning_users</x:v>
      </x:c>
      <x:c r="H1" s="33" t="str">
        <x:v>blog_visits</x:v>
      </x:c>
      <x:c r="I1" s="33" t="str">
        <x:v>problems_submitted</x:v>
      </x:c>
      <x:c r="J1" s="33" t="str">
        <x:v>help_requests</x:v>
      </x:c>
      <x:c r="K1" s="33" t="str">
        <x:v>purchases</x:v>
      </x:c>
      <x:c r="L1" s="33" t="str">
        <x:v>view_to_tool_rate</x:v>
      </x:c>
      <x:c r="M1" s="33" t="str">
        <x:v>tool_to_help_rate</x:v>
      </x:c>
      <x:c r="N1" s="33" t="str">
        <x:v>help_to_purchase_rate</x:v>
      </x:c>
      <x:c r="O1" s="17" t="str">
        <x:v>notes</x:v>
      </x:c>
    </x:row>
    <x:row r="2">
      <x:c r="A2" s="28" t="str">
        <x:v>RC-PROBLEM-001</x:v>
      </x:c>
      <x:c r="B2" s="28" t="str">
        <x:v>2026-W36</x:v>
      </x:c>
      <x:c r="C2" s="28" t="n">
        <x:v>0</x:v>
      </x:c>
      <x:c r="D2" s="28" t="n">
        <x:v>0</x:v>
      </x:c>
      <x:c r="E2" s="28" t="n">
        <x:v>0</x:v>
      </x:c>
      <x:c r="F2" s="28" t="n">
        <x:v>0</x:v>
      </x:c>
      <x:c r="G2" s="28" t="n">
        <x:v>0</x:v>
      </x:c>
      <x:c r="H2" s="28" t="n">
        <x:v>0</x:v>
      </x:c>
      <x:c r="I2" s="28" t="n">
        <x:v>0</x:v>
      </x:c>
      <x:c r="J2" s="28" t="n">
        <x:v>0</x:v>
      </x:c>
      <x:c r="K2" s="28" t="n">
        <x:v>0</x:v>
      </x:c>
      <x:c r="L2" s="42" t="n">
        <x:f>IFERROR(F2/C2,0)</x:f>
        <x:v>0</x:v>
      </x:c>
      <x:c r="M2" s="42" t="n">
        <x:f>IFERROR(J2/F2,0)</x:f>
        <x:v>0</x:v>
      </x:c>
      <x:c r="N2" s="42" t="n">
        <x:f>IFERROR(K2/J2,0)</x:f>
        <x:v>0</x:v>
      </x:c>
      <x:c r="O2" s="28" t="str">
        <x:v>Baseline antes da publicação.</x:v>
      </x:c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42"/>
      <x:c r="M3" s="42"/>
      <x:c r="N3" s="42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42"/>
      <x:c r="M4" s="42"/>
      <x:c r="N4" s="42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42"/>
      <x:c r="M5" s="42"/>
      <x:c r="N5" s="42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42"/>
      <x:c r="M6" s="42"/>
      <x:c r="N6" s="42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42"/>
      <x:c r="M7" s="42"/>
      <x:c r="N7" s="42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42"/>
      <x:c r="M8" s="42"/>
      <x:c r="N8" s="42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42"/>
      <x:c r="M9" s="42"/>
      <x:c r="N9" s="42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42"/>
      <x:c r="M10" s="42"/>
      <x:c r="N10" s="42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42"/>
      <x:c r="M11" s="42"/>
      <x:c r="N11" s="42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42"/>
      <x:c r="M12" s="42"/>
      <x:c r="N12" s="42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42"/>
      <x:c r="M13" s="42"/>
      <x:c r="N13" s="42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42"/>
      <x:c r="M14" s="42"/>
      <x:c r="N14" s="42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42"/>
      <x:c r="M15" s="42"/>
      <x:c r="N15" s="42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42"/>
      <x:c r="M16" s="42"/>
      <x:c r="N16" s="42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42"/>
      <x:c r="M17" s="42"/>
      <x:c r="N17" s="42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42"/>
      <x:c r="M18" s="42"/>
      <x:c r="N18" s="42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42"/>
      <x:c r="M19" s="42"/>
      <x:c r="N19" s="42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42"/>
      <x:c r="M20" s="42"/>
      <x:c r="N20" s="42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42"/>
      <x:c r="M21" s="42"/>
      <x:c r="N21" s="42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42"/>
      <x:c r="M22" s="42"/>
      <x:c r="N22" s="42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42"/>
      <x:c r="M23" s="42"/>
      <x:c r="N23" s="42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42"/>
      <x:c r="M24" s="42"/>
      <x:c r="N24" s="42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42"/>
      <x:c r="M25" s="42"/>
      <x:c r="N25" s="42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42"/>
      <x:c r="M26" s="42"/>
      <x:c r="N26" s="42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42"/>
      <x:c r="M27" s="42"/>
      <x:c r="N27" s="42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42"/>
      <x:c r="M28" s="42"/>
      <x:c r="N28" s="42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42"/>
      <x:c r="M29" s="42"/>
      <x:c r="N29" s="42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42"/>
      <x:c r="M30" s="42"/>
      <x:c r="N30" s="42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42"/>
      <x:c r="M31" s="42"/>
      <x:c r="N31" s="42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42"/>
      <x:c r="M32" s="42"/>
      <x:c r="N32" s="42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42"/>
      <x:c r="M33" s="42"/>
      <x:c r="N33" s="42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42"/>
      <x:c r="M34" s="42"/>
      <x:c r="N34" s="42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42"/>
      <x:c r="M35" s="42"/>
      <x:c r="N35" s="42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42"/>
      <x:c r="M36" s="42"/>
      <x:c r="N36" s="42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42"/>
      <x:c r="M37" s="42"/>
      <x:c r="N37" s="42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42"/>
      <x:c r="M38" s="42"/>
      <x:c r="N38" s="42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42"/>
      <x:c r="M39" s="42"/>
      <x:c r="N39" s="42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42"/>
      <x:c r="M40" s="42"/>
      <x:c r="N40" s="42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42"/>
      <x:c r="M41" s="42"/>
      <x:c r="N41" s="42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42"/>
      <x:c r="M42" s="42"/>
      <x:c r="N42" s="42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42"/>
      <x:c r="M43" s="42"/>
      <x:c r="N43" s="42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42"/>
      <x:c r="M44" s="42"/>
      <x:c r="N44" s="42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42"/>
      <x:c r="M45" s="42"/>
      <x:c r="N45" s="42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42"/>
      <x:c r="M46" s="42"/>
      <x:c r="N46" s="42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42"/>
      <x:c r="M47" s="42"/>
      <x:c r="N47" s="42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42"/>
      <x:c r="M48" s="42"/>
      <x:c r="N48" s="42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42"/>
      <x:c r="M49" s="42"/>
      <x:c r="N49" s="42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42"/>
      <x:c r="M50" s="42"/>
      <x:c r="N50" s="42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42"/>
      <x:c r="M51" s="42"/>
      <x:c r="N51" s="42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42"/>
      <x:c r="M52" s="42"/>
      <x:c r="N52" s="42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42"/>
      <x:c r="M53" s="42"/>
      <x:c r="N53" s="42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42"/>
      <x:c r="M54" s="42"/>
      <x:c r="N54" s="42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42"/>
      <x:c r="M55" s="42"/>
      <x:c r="N55" s="42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42"/>
      <x:c r="M56" s="42"/>
      <x:c r="N56" s="42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42"/>
      <x:c r="M57" s="42"/>
      <x:c r="N57" s="42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42"/>
      <x:c r="M58" s="42"/>
      <x:c r="N58" s="42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42"/>
      <x:c r="M59" s="42"/>
      <x:c r="N59" s="42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42"/>
      <x:c r="M60" s="42"/>
      <x:c r="N60" s="42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42"/>
      <x:c r="M61" s="42"/>
      <x:c r="N61" s="42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42"/>
      <x:c r="M62" s="42"/>
      <x:c r="N62" s="42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42"/>
      <x:c r="M63" s="42"/>
      <x:c r="N63" s="42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42"/>
      <x:c r="M64" s="42"/>
      <x:c r="N64" s="42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42"/>
      <x:c r="M65" s="42"/>
      <x:c r="N65" s="42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42"/>
      <x:c r="M66" s="42"/>
      <x:c r="N66" s="42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42"/>
      <x:c r="M67" s="42"/>
      <x:c r="N67" s="42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42"/>
      <x:c r="M68" s="42"/>
      <x:c r="N68" s="42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42"/>
      <x:c r="M69" s="42"/>
      <x:c r="N69" s="42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42"/>
      <x:c r="M70" s="42"/>
      <x:c r="N70" s="42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42"/>
      <x:c r="M71" s="42"/>
      <x:c r="N71" s="42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42"/>
      <x:c r="M72" s="42"/>
      <x:c r="N72" s="42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42"/>
      <x:c r="M73" s="42"/>
      <x:c r="N73" s="42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42"/>
      <x:c r="M74" s="42"/>
      <x:c r="N74" s="42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42"/>
      <x:c r="M75" s="42"/>
      <x:c r="N75" s="42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42"/>
      <x:c r="M76" s="42"/>
      <x:c r="N76" s="42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42"/>
      <x:c r="M77" s="42"/>
      <x:c r="N77" s="42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42"/>
      <x:c r="M78" s="42"/>
      <x:c r="N78" s="42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42"/>
      <x:c r="M79" s="42"/>
      <x:c r="N79" s="42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42"/>
      <x:c r="M80" s="42"/>
      <x:c r="N80" s="42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42"/>
      <x:c r="M81" s="42"/>
      <x:c r="N81" s="42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42"/>
      <x:c r="M82" s="42"/>
      <x:c r="N82" s="42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42"/>
      <x:c r="M83" s="42"/>
      <x:c r="N83" s="42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42"/>
      <x:c r="M84" s="42"/>
      <x:c r="N84" s="42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42"/>
      <x:c r="M85" s="42"/>
      <x:c r="N85" s="42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42"/>
      <x:c r="M86" s="42"/>
      <x:c r="N86" s="42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42"/>
      <x:c r="M87" s="42"/>
      <x:c r="N87" s="42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42"/>
      <x:c r="M88" s="42"/>
      <x:c r="N88" s="42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42"/>
      <x:c r="M89" s="42"/>
      <x:c r="N89" s="42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42"/>
      <x:c r="M90" s="42"/>
      <x:c r="N90" s="42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42"/>
      <x:c r="M91" s="42"/>
      <x:c r="N91" s="42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42"/>
      <x:c r="M92" s="42"/>
      <x:c r="N92" s="42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42"/>
      <x:c r="M93" s="42"/>
      <x:c r="N93" s="42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42"/>
      <x:c r="M94" s="42"/>
      <x:c r="N94" s="42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42"/>
      <x:c r="M95" s="42"/>
      <x:c r="N95" s="42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42"/>
      <x:c r="M96" s="42"/>
      <x:c r="N96" s="42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42"/>
      <x:c r="M97" s="42"/>
      <x:c r="N97" s="42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42"/>
      <x:c r="M98" s="42"/>
      <x:c r="N98" s="42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42"/>
      <x:c r="M99" s="42"/>
      <x:c r="N99" s="42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42"/>
      <x:c r="M100" s="42"/>
      <x:c r="N100" s="42"/>
      <x:c r="O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42"/>
      <x:c r="M101" s="42"/>
      <x:c r="N101" s="42"/>
      <x:c r="O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42"/>
      <x:c r="M102" s="42"/>
      <x:c r="N102" s="42"/>
      <x:c r="O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42"/>
      <x:c r="M103" s="42"/>
      <x:c r="N103" s="42"/>
      <x:c r="O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42"/>
      <x:c r="M104" s="42"/>
      <x:c r="N104" s="42"/>
      <x:c r="O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42"/>
      <x:c r="M105" s="42"/>
      <x:c r="N105" s="42"/>
      <x:c r="O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42"/>
      <x:c r="M106" s="42"/>
      <x:c r="N106" s="42"/>
      <x:c r="O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42"/>
      <x:c r="M107" s="42"/>
      <x:c r="N107" s="42"/>
      <x:c r="O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42"/>
      <x:c r="M108" s="42"/>
      <x:c r="N108" s="42"/>
      <x:c r="O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42"/>
      <x:c r="M109" s="42"/>
      <x:c r="N109" s="42"/>
      <x:c r="O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42"/>
      <x:c r="M110" s="42"/>
      <x:c r="N110" s="42"/>
      <x:c r="O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42"/>
      <x:c r="M111" s="42"/>
      <x:c r="N111" s="42"/>
      <x:c r="O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42"/>
      <x:c r="M112" s="42"/>
      <x:c r="N112" s="42"/>
      <x:c r="O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42"/>
      <x:c r="M113" s="42"/>
      <x:c r="N113" s="42"/>
      <x:c r="O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42"/>
      <x:c r="M114" s="42"/>
      <x:c r="N114" s="42"/>
      <x:c r="O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42"/>
      <x:c r="M115" s="42"/>
      <x:c r="N115" s="42"/>
      <x:c r="O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42"/>
      <x:c r="M116" s="42"/>
      <x:c r="N116" s="42"/>
      <x:c r="O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42"/>
      <x:c r="M117" s="42"/>
      <x:c r="N117" s="42"/>
      <x:c r="O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42"/>
      <x:c r="M118" s="42"/>
      <x:c r="N118" s="42"/>
      <x:c r="O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42"/>
      <x:c r="M119" s="42"/>
      <x:c r="N119" s="42"/>
      <x:c r="O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42"/>
      <x:c r="M120" s="42"/>
      <x:c r="N120" s="42"/>
      <x:c r="O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42"/>
      <x:c r="M121" s="42"/>
      <x:c r="N121" s="42"/>
      <x:c r="O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42"/>
      <x:c r="M122" s="42"/>
      <x:c r="N122" s="42"/>
      <x:c r="O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42"/>
      <x:c r="M123" s="42"/>
      <x:c r="N123" s="42"/>
      <x:c r="O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42"/>
      <x:c r="M124" s="42"/>
      <x:c r="N124" s="42"/>
      <x:c r="O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42"/>
      <x:c r="M125" s="42"/>
      <x:c r="N125" s="42"/>
      <x:c r="O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42"/>
      <x:c r="M126" s="42"/>
      <x:c r="N126" s="42"/>
      <x:c r="O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42"/>
      <x:c r="M127" s="42"/>
      <x:c r="N127" s="42"/>
      <x:c r="O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42"/>
      <x:c r="M128" s="42"/>
      <x:c r="N128" s="42"/>
      <x:c r="O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42"/>
      <x:c r="M129" s="42"/>
      <x:c r="N129" s="42"/>
      <x:c r="O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42"/>
      <x:c r="M130" s="42"/>
      <x:c r="N130" s="42"/>
      <x:c r="O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42"/>
      <x:c r="M131" s="42"/>
      <x:c r="N131" s="42"/>
      <x:c r="O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42"/>
      <x:c r="M132" s="42"/>
      <x:c r="N132" s="42"/>
      <x:c r="O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42"/>
      <x:c r="M133" s="42"/>
      <x:c r="N133" s="42"/>
      <x:c r="O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42"/>
      <x:c r="M134" s="42"/>
      <x:c r="N134" s="42"/>
      <x:c r="O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42"/>
      <x:c r="M135" s="42"/>
      <x:c r="N135" s="42"/>
      <x:c r="O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42"/>
      <x:c r="M136" s="42"/>
      <x:c r="N136" s="42"/>
      <x:c r="O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42"/>
      <x:c r="M137" s="42"/>
      <x:c r="N137" s="42"/>
      <x:c r="O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42"/>
      <x:c r="M138" s="42"/>
      <x:c r="N138" s="42"/>
      <x:c r="O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42"/>
      <x:c r="M139" s="42"/>
      <x:c r="N139" s="42"/>
      <x:c r="O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42"/>
      <x:c r="M140" s="42"/>
      <x:c r="N140" s="42"/>
      <x:c r="O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42"/>
      <x:c r="M141" s="42"/>
      <x:c r="N141" s="42"/>
      <x:c r="O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42"/>
      <x:c r="M142" s="42"/>
      <x:c r="N142" s="42"/>
      <x:c r="O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42"/>
      <x:c r="M143" s="42"/>
      <x:c r="N143" s="42"/>
      <x:c r="O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42"/>
      <x:c r="M144" s="42"/>
      <x:c r="N144" s="42"/>
      <x:c r="O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42"/>
      <x:c r="M145" s="42"/>
      <x:c r="N145" s="42"/>
      <x:c r="O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42"/>
      <x:c r="M146" s="42"/>
      <x:c r="N146" s="42"/>
      <x:c r="O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42"/>
      <x:c r="M147" s="42"/>
      <x:c r="N147" s="42"/>
      <x:c r="O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42"/>
      <x:c r="M148" s="42"/>
      <x:c r="N148" s="42"/>
      <x:c r="O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42"/>
      <x:c r="M149" s="42"/>
      <x:c r="N149" s="42"/>
      <x:c r="O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42"/>
      <x:c r="M150" s="42"/>
      <x:c r="N150" s="42"/>
      <x:c r="O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42"/>
      <x:c r="M151" s="42"/>
      <x:c r="N151" s="42"/>
      <x:c r="O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42"/>
      <x:c r="M152" s="42"/>
      <x:c r="N152" s="42"/>
      <x:c r="O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42"/>
      <x:c r="M153" s="42"/>
      <x:c r="N153" s="42"/>
      <x:c r="O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42"/>
      <x:c r="M154" s="42"/>
      <x:c r="N154" s="42"/>
      <x:c r="O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42"/>
      <x:c r="M155" s="42"/>
      <x:c r="N155" s="42"/>
      <x:c r="O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42"/>
      <x:c r="M156" s="42"/>
      <x:c r="N156" s="42"/>
      <x:c r="O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42"/>
      <x:c r="M157" s="42"/>
      <x:c r="N157" s="42"/>
      <x:c r="O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42"/>
      <x:c r="M158" s="42"/>
      <x:c r="N158" s="42"/>
      <x:c r="O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42"/>
      <x:c r="M159" s="42"/>
      <x:c r="N159" s="42"/>
      <x:c r="O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42"/>
      <x:c r="M160" s="42"/>
      <x:c r="N160" s="42"/>
      <x:c r="O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42"/>
      <x:c r="M161" s="42"/>
      <x:c r="N161" s="42"/>
      <x:c r="O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42"/>
      <x:c r="M162" s="42"/>
      <x:c r="N162" s="42"/>
      <x:c r="O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42"/>
      <x:c r="M163" s="42"/>
      <x:c r="N163" s="42"/>
      <x:c r="O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42"/>
      <x:c r="M164" s="42"/>
      <x:c r="N164" s="42"/>
      <x:c r="O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42"/>
      <x:c r="M165" s="42"/>
      <x:c r="N165" s="42"/>
      <x:c r="O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42"/>
      <x:c r="M166" s="42"/>
      <x:c r="N166" s="42"/>
      <x:c r="O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42"/>
      <x:c r="M167" s="42"/>
      <x:c r="N167" s="42"/>
      <x:c r="O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42"/>
      <x:c r="M168" s="42"/>
      <x:c r="N168" s="42"/>
      <x:c r="O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42"/>
      <x:c r="M169" s="42"/>
      <x:c r="N169" s="42"/>
      <x:c r="O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42"/>
      <x:c r="M170" s="42"/>
      <x:c r="N170" s="42"/>
      <x:c r="O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42"/>
      <x:c r="M171" s="42"/>
      <x:c r="N171" s="42"/>
      <x:c r="O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42"/>
      <x:c r="M172" s="42"/>
      <x:c r="N172" s="42"/>
      <x:c r="O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42"/>
      <x:c r="M173" s="42"/>
      <x:c r="N173" s="42"/>
      <x:c r="O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42"/>
      <x:c r="M174" s="42"/>
      <x:c r="N174" s="42"/>
      <x:c r="O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42"/>
      <x:c r="M175" s="42"/>
      <x:c r="N175" s="42"/>
      <x:c r="O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42"/>
      <x:c r="M176" s="42"/>
      <x:c r="N176" s="42"/>
      <x:c r="O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42"/>
      <x:c r="M177" s="42"/>
      <x:c r="N177" s="42"/>
      <x:c r="O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42"/>
      <x:c r="M178" s="42"/>
      <x:c r="N178" s="42"/>
      <x:c r="O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42"/>
      <x:c r="M179" s="42"/>
      <x:c r="N179" s="42"/>
      <x:c r="O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42"/>
      <x:c r="M180" s="42"/>
      <x:c r="N180" s="42"/>
      <x:c r="O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42"/>
      <x:c r="M181" s="42"/>
      <x:c r="N181" s="42"/>
      <x:c r="O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42"/>
      <x:c r="M182" s="42"/>
      <x:c r="N182" s="42"/>
      <x:c r="O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42"/>
      <x:c r="M183" s="42"/>
      <x:c r="N183" s="42"/>
      <x:c r="O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42"/>
      <x:c r="M184" s="42"/>
      <x:c r="N184" s="42"/>
      <x:c r="O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42"/>
      <x:c r="M185" s="42"/>
      <x:c r="N185" s="42"/>
      <x:c r="O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42"/>
      <x:c r="M186" s="42"/>
      <x:c r="N186" s="42"/>
      <x:c r="O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42"/>
      <x:c r="M187" s="42"/>
      <x:c r="N187" s="42"/>
      <x:c r="O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42"/>
      <x:c r="M188" s="42"/>
      <x:c r="N188" s="42"/>
      <x:c r="O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42"/>
      <x:c r="M189" s="42"/>
      <x:c r="N189" s="42"/>
      <x:c r="O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42"/>
      <x:c r="M190" s="42"/>
      <x:c r="N190" s="42"/>
      <x:c r="O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42"/>
      <x:c r="M191" s="42"/>
      <x:c r="N191" s="42"/>
      <x:c r="O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42"/>
      <x:c r="M192" s="42"/>
      <x:c r="N192" s="42"/>
      <x:c r="O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42"/>
      <x:c r="M193" s="42"/>
      <x:c r="N193" s="42"/>
      <x:c r="O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42"/>
      <x:c r="M194" s="42"/>
      <x:c r="N194" s="42"/>
      <x:c r="O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42"/>
      <x:c r="M195" s="42"/>
      <x:c r="N195" s="42"/>
      <x:c r="O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42"/>
      <x:c r="M196" s="42"/>
      <x:c r="N196" s="42"/>
      <x:c r="O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42"/>
      <x:c r="M197" s="42"/>
      <x:c r="N197" s="42"/>
      <x:c r="O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42"/>
      <x:c r="M198" s="42"/>
      <x:c r="N198" s="42"/>
      <x:c r="O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42"/>
      <x:c r="M199" s="42"/>
      <x:c r="N199" s="42"/>
      <x:c r="O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42"/>
      <x:c r="M200" s="42"/>
      <x:c r="N200" s="42"/>
      <x:c r="O200" s="28"/>
    </x:row>
  </x:sheetData>
  <x:pageMargins left="0.7" right="0.7" top="0.75" bottom="0.75" header="0.3" footer="0.3"/>
  <x:tableParts count="1">
    <x:tablePart xmlns:r="http://schemas.openxmlformats.org/officeDocument/2006/relationships" r:id="Rd635918f34674a1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48" hidden="0" customWidth="1"/>
  </x:cols>
  <x:sheetData>
    <x:row r="1">
      <x:c r="A1" s="16" t="str">
        <x:v>taxonomy</x:v>
      </x:c>
      <x:c r="B1" s="33" t="str">
        <x:v>code</x:v>
      </x:c>
      <x:c r="C1" s="33" t="str">
        <x:v>value</x:v>
      </x:c>
      <x:c r="D1" s="17" t="str">
        <x:v>definition</x:v>
      </x:c>
    </x:row>
    <x:row r="2">
      <x:c r="A2" s="28" t="str">
        <x:v>asset_format</x:v>
      </x:c>
      <x:c r="B2" s="28" t="str">
        <x:v>CAR</x:v>
      </x:c>
      <x:c r="C2" s="28" t="str">
        <x:v>Carrossel</x:v>
      </x:c>
      <x:c r="D2" s="28" t="str">
        <x:v>Formato derivado do mesmo problema/solução.</x:v>
      </x:c>
    </x:row>
    <x:row r="3">
      <x:c r="A3" s="28" t="str">
        <x:v>asset_format</x:v>
      </x:c>
      <x:c r="B3" s="28" t="str">
        <x:v>REEL</x:v>
      </x:c>
      <x:c r="C3" s="28" t="str">
        <x:v>Reel</x:v>
      </x:c>
      <x:c r="D3" s="28" t="str">
        <x:v>Formato derivado do mesmo problema/solução.</x:v>
      </x:c>
    </x:row>
    <x:row r="4">
      <x:c r="A4" s="28" t="str">
        <x:v>asset_format</x:v>
      </x:c>
      <x:c r="B4" s="28" t="str">
        <x:v>STORY</x:v>
      </x:c>
      <x:c r="C4" s="28" t="str">
        <x:v>Story</x:v>
      </x:c>
      <x:c r="D4" s="28" t="str">
        <x:v>Formato derivado do mesmo problema/solução.</x:v>
      </x:c>
    </x:row>
    <x:row r="5">
      <x:c r="A5" s="28" t="str">
        <x:v>asset_format</x:v>
      </x:c>
      <x:c r="B5" s="28" t="str">
        <x:v>PROMPT</x:v>
      </x:c>
      <x:c r="C5" s="28" t="str">
        <x:v>Prompt</x:v>
      </x:c>
      <x:c r="D5" s="28" t="str">
        <x:v>Formato derivado do mesmo problema/solução.</x:v>
      </x:c>
    </x:row>
    <x:row r="6">
      <x:c r="A6" s="28" t="str">
        <x:v>asset_format</x:v>
      </x:c>
      <x:c r="B6" s="28" t="str">
        <x:v>HTML</x:v>
      </x:c>
      <x:c r="C6" s="28" t="str">
        <x:v>HTML</x:v>
      </x:c>
      <x:c r="D6" s="28" t="str">
        <x:v>Formato derivado do mesmo problema/solução.</x:v>
      </x:c>
    </x:row>
    <x:row r="7">
      <x:c r="A7" s="28" t="str">
        <x:v>asset_format</x:v>
      </x:c>
      <x:c r="B7" s="28" t="str">
        <x:v>ART</x:v>
      </x:c>
      <x:c r="C7" s="28" t="str">
        <x:v>Artigo</x:v>
      </x:c>
      <x:c r="D7" s="28" t="str">
        <x:v>Formato derivado do mesmo problema/solução.</x:v>
      </x:c>
    </x:row>
    <x:row r="8">
      <x:c r="A8" s="28" t="str">
        <x:v>asset_format</x:v>
      </x:c>
      <x:c r="B8" s="28" t="str">
        <x:v>IMG</x:v>
      </x:c>
      <x:c r="C8" s="28" t="str">
        <x:v>Imagem</x:v>
      </x:c>
      <x:c r="D8" s="28" t="str">
        <x:v>Formato derivado do mesmo problema/solução.</x:v>
      </x:c>
    </x:row>
    <x:row r="9">
      <x:c r="A9" s="28" t="str">
        <x:v>asset_format</x:v>
      </x:c>
      <x:c r="B9" s="28" t="str">
        <x:v>PDF</x:v>
      </x:c>
      <x:c r="C9" s="28" t="str">
        <x:v>PDF</x:v>
      </x:c>
      <x:c r="D9" s="28" t="str">
        <x:v>Formato derivado do mesmo problema/solução.</x:v>
      </x:c>
    </x:row>
    <x:row r="10">
      <x:c r="A10" s="28" t="str">
        <x:v>asset_format</x:v>
      </x:c>
      <x:c r="B10" s="28" t="str">
        <x:v>PRISMA</x:v>
      </x:c>
      <x:c r="C10" s="28" t="str">
        <x:v>Prisma</x:v>
      </x:c>
      <x:c r="D10" s="28" t="str">
        <x:v>Formato derivado do mesmo problema/solução.</x:v>
      </x:c>
    </x:row>
    <x:row r="11">
      <x:c r="A11" s="28" t="str">
        <x:v>asset_format</x:v>
      </x:c>
      <x:c r="B11" s="28" t="str">
        <x:v>NEWS</x:v>
      </x:c>
      <x:c r="C11" s="28" t="str">
        <x:v>Newsletter</x:v>
      </x:c>
      <x:c r="D11" s="28" t="str">
        <x:v>Formato derivado do mesmo problema/solução.</x:v>
      </x:c>
    </x:row>
    <x:row r="12">
      <x:c r="A12" s="28" t="str">
        <x:v>asset_format</x:v>
      </x:c>
      <x:c r="B12" s="28" t="str">
        <x:v>CTA</x:v>
      </x:c>
      <x:c r="C12" s="28" t="str">
        <x:v>CTA</x:v>
      </x:c>
      <x:c r="D12" s="28" t="str">
        <x:v>Formato derivado do mesmo problema/solução.</x:v>
      </x:c>
    </x:row>
    <x:row r="13">
      <x:c r="A13" s="28" t="str">
        <x:v>asset_format</x:v>
      </x:c>
      <x:c r="B13" s="28" t="str">
        <x:v>LINKEDIN</x:v>
      </x:c>
      <x:c r="C13" s="28" t="str">
        <x:v>LinkedIn</x:v>
      </x:c>
      <x:c r="D13" s="28" t="str">
        <x:v>Formato derivado do mesmo problema/solução.</x:v>
      </x:c>
    </x:row>
    <x:row r="14">
      <x:c r="A14" s="28" t="str">
        <x:v>solution_family</x:v>
      </x:c>
      <x:c r="B14" s="28" t="str">
        <x:v>CONVERSOR</x:v>
      </x:c>
      <x:c r="C14" s="28" t="str">
        <x:v>Conversor</x:v>
      </x:c>
      <x:c r="D14" s="28" t="str">
        <x:v>Família proprietária de solução editorial.</x:v>
      </x:c>
    </x:row>
    <x:row r="15">
      <x:c r="A15" s="28" t="str">
        <x:v>solution_family</x:v>
      </x:c>
      <x:c r="B15" s="28" t="str">
        <x:v>SCANNER</x:v>
      </x:c>
      <x:c r="C15" s="28" t="str">
        <x:v>Scanner</x:v>
      </x:c>
      <x:c r="D15" s="28" t="str">
        <x:v>Família proprietária de solução editorial.</x:v>
      </x:c>
    </x:row>
    <x:row r="16">
      <x:c r="A16" s="28" t="str">
        <x:v>solution_family</x:v>
      </x:c>
      <x:c r="B16" s="28" t="str">
        <x:v>MAPA</x:v>
      </x:c>
      <x:c r="C16" s="28" t="str">
        <x:v>Mapa</x:v>
      </x:c>
      <x:c r="D16" s="28" t="str">
        <x:v>Família proprietária de solução editorial.</x:v>
      </x:c>
    </x:row>
    <x:row r="17">
      <x:c r="A17" s="28" t="str">
        <x:v>solution_family</x:v>
      </x:c>
      <x:c r="B17" s="28" t="str">
        <x:v>CHECKLIST</x:v>
      </x:c>
      <x:c r="C17" s="28" t="str">
        <x:v>Checklist</x:v>
      </x:c>
      <x:c r="D17" s="28" t="str">
        <x:v>Família proprietária de solução editorial.</x:v>
      </x:c>
    </x:row>
    <x:row r="18">
      <x:c r="A18" s="28" t="str">
        <x:v>solution_family</x:v>
      </x:c>
      <x:c r="B18" s="28" t="str">
        <x:v>PRISMA</x:v>
      </x:c>
      <x:c r="C18" s="28" t="str">
        <x:v>Prisma</x:v>
      </x:c>
      <x:c r="D18" s="28" t="str">
        <x:v>Família proprietária de solução editorial.</x:v>
      </x:c>
    </x:row>
    <x:row r="19">
      <x:c r="A19" s="28" t="str">
        <x:v>solution_family</x:v>
      </x:c>
      <x:c r="B19" s="28" t="str">
        <x:v>PROTOCOLO</x:v>
      </x:c>
      <x:c r="C19" s="28" t="str">
        <x:v>Protocolo</x:v>
      </x:c>
      <x:c r="D19" s="28" t="str">
        <x:v>Família proprietária de solução editorial.</x:v>
      </x:c>
    </x:row>
    <x:row r="20">
      <x:c r="A20" s="28" t="str">
        <x:v>funnel_stage</x:v>
      </x:c>
      <x:c r="B20" s="28" t="str">
        <x:v>DESCOBERTA</x:v>
      </x:c>
      <x:c r="C20" s="28" t="str">
        <x:v>Descoberta</x:v>
      </x:c>
      <x:c r="D20" s="28" t="str">
        <x:v>Etapa do funil editorial.</x:v>
      </x:c>
    </x:row>
    <x:row r="21">
      <x:c r="A21" s="28" t="str">
        <x:v>funnel_stage</x:v>
      </x:c>
      <x:c r="B21" s="28" t="str">
        <x:v>RESOLUÇÃO</x:v>
      </x:c>
      <x:c r="C21" s="28" t="str">
        <x:v>Resolução</x:v>
      </x:c>
      <x:c r="D21" s="28" t="str">
        <x:v>Etapa do funil editorial.</x:v>
      </x:c>
    </x:row>
    <x:row r="22">
      <x:c r="A22" s="28" t="str">
        <x:v>funnel_stage</x:v>
      </x:c>
      <x:c r="B22" s="28" t="str">
        <x:v>APROFUNDAMENTO</x:v>
      </x:c>
      <x:c r="C22" s="28" t="str">
        <x:v>Aprofundamento</x:v>
      </x:c>
      <x:c r="D22" s="28" t="str">
        <x:v>Etapa do funil editorial.</x:v>
      </x:c>
    </x:row>
    <x:row r="23">
      <x:c r="A23" s="28" t="str">
        <x:v>funnel_stage</x:v>
      </x:c>
      <x:c r="B23" s="28" t="str">
        <x:v>CONVERSÃO</x:v>
      </x:c>
      <x:c r="C23" s="28" t="str">
        <x:v>Conversão</x:v>
      </x:c>
      <x:c r="D23" s="28" t="str">
        <x:v>Etapa do funil editorial.</x:v>
      </x:c>
    </x:row>
    <x:row r="24">
      <x:c r="A24" s="28" t="str">
        <x:v>funnel_stage</x:v>
      </x:c>
      <x:c r="B24" s="28" t="str">
        <x:v>RETENÇÃO</x:v>
      </x:c>
      <x:c r="C24" s="28" t="str">
        <x:v>Retenção</x:v>
      </x:c>
      <x:c r="D24" s="28" t="str">
        <x:v>Etapa do funil editorial.</x:v>
      </x:c>
    </x:row>
    <x:row r="25">
      <x:c r="A25" s="28" t="str">
        <x:v>editorial_pillar</x:v>
      </x:c>
      <x:c r="B25" s="28" t="str"/>
      <x:c r="C25" s="28" t="str">
        <x:v>Cognição e Neurodivergência</x:v>
      </x:c>
      <x:c r="D25" s="28" t="str">
        <x:v>Pilar editorial canônico.</x:v>
      </x:c>
    </x:row>
    <x:row r="26">
      <x:c r="A26" s="28" t="str">
        <x:v>editorial_pillar</x:v>
      </x:c>
      <x:c r="B26" s="28" t="str"/>
      <x:c r="C26" s="28" t="str">
        <x:v>Comportamento e Autogerenciamento</x:v>
      </x:c>
      <x:c r="D26" s="28" t="str">
        <x:v>Pilar editorial canônico.</x:v>
      </x:c>
    </x:row>
    <x:row r="27">
      <x:c r="A27" s="28" t="str">
        <x:v>editorial_pillar</x:v>
      </x:c>
      <x:c r="B27" s="28" t="str"/>
      <x:c r="C27" s="28" t="str">
        <x:v>Riscos Cognitivos</x:v>
      </x:c>
      <x:c r="D27" s="28" t="str">
        <x:v>Pilar editorial canônico.</x:v>
      </x:c>
    </x:row>
    <x:row r="28">
      <x:c r="A28" s="28" t="str">
        <x:v>editorial_pillar</x:v>
      </x:c>
      <x:c r="B28" s="28" t="str"/>
      <x:c r="C28" s="28" t="str">
        <x:v>Processos e Projetos Neuroadaptados</x:v>
      </x:c>
      <x:c r="D28" s="28" t="str">
        <x:v>Pilar editorial canônico.</x:v>
      </x:c>
    </x:row>
    <x:row r="29">
      <x:c r="A29" s="28" t="str">
        <x:v>editorial_pillar</x:v>
      </x:c>
      <x:c r="B29" s="28" t="str"/>
      <x:c r="C29" s="28" t="str">
        <x:v>Controles e Ergonomia</x:v>
      </x:c>
      <x:c r="D29" s="28" t="str">
        <x:v>Pilar editorial canônico.</x:v>
      </x:c>
    </x:row>
    <x:row r="30">
      <x:c r="A30" s="28" t="str">
        <x:v>editorial_pillar</x:v>
      </x:c>
      <x:c r="B30" s="28" t="str"/>
      <x:c r="C30" s="28" t="str">
        <x:v>Tecnologia e Automação</x:v>
      </x:c>
      <x:c r="D30" s="28" t="str">
        <x:v>Pilar editorial canônico.</x:v>
      </x:c>
    </x:row>
    <x:row r="31">
      <x:c r="A31" s="28" t="str">
        <x:v>editorial_pillar</x:v>
      </x:c>
      <x:c r="B31" s="28" t="str"/>
      <x:c r="C31" s="28" t="str">
        <x:v>Aplicação e Evidência</x:v>
      </x:c>
      <x:c r="D31" s="28" t="str">
        <x:v>Pilar editorial canônico.</x:v>
      </x:c>
    </x:row>
    <x:row r="32">
      <x:c r="A32" s="28" t="str">
        <x:v>awareness_level</x:v>
      </x:c>
      <x:c r="B32" s="28" t="str"/>
      <x:c r="C32" s="28" t="str">
        <x:v>Inconsciente do problema</x:v>
      </x:c>
      <x:c r="D32" s="28" t="str">
        <x:v>Nível de consciência.</x:v>
      </x:c>
    </x:row>
    <x:row r="33">
      <x:c r="A33" s="28" t="str">
        <x:v>awareness_level</x:v>
      </x:c>
      <x:c r="B33" s="28" t="str"/>
      <x:c r="C33" s="28" t="str">
        <x:v>Consciente do problema</x:v>
      </x:c>
      <x:c r="D33" s="28" t="str">
        <x:v>Nível de consciência.</x:v>
      </x:c>
    </x:row>
    <x:row r="34">
      <x:c r="A34" s="28" t="str">
        <x:v>awareness_level</x:v>
      </x:c>
      <x:c r="B34" s="28" t="str"/>
      <x:c r="C34" s="28" t="str">
        <x:v>Consciente do mecanismo</x:v>
      </x:c>
      <x:c r="D34" s="28" t="str">
        <x:v>Nível de consciência.</x:v>
      </x:c>
    </x:row>
    <x:row r="35">
      <x:c r="A35" s="28" t="str">
        <x:v>awareness_level</x:v>
      </x:c>
      <x:c r="B35" s="28" t="str"/>
      <x:c r="C35" s="28" t="str">
        <x:v>Consciente do risco</x:v>
      </x:c>
      <x:c r="D35" s="28" t="str">
        <x:v>Nível de consciência.</x:v>
      </x:c>
    </x:row>
    <x:row r="36">
      <x:c r="A36" s="28" t="str">
        <x:v>awareness_level</x:v>
      </x:c>
      <x:c r="B36" s="28" t="str"/>
      <x:c r="C36" s="28" t="str">
        <x:v>Consciente da solução</x:v>
      </x:c>
      <x:c r="D36" s="28" t="str">
        <x:v>Nível de consciência.</x:v>
      </x:c>
    </x:row>
    <x:row r="37">
      <x:c r="A37" s="28" t="str">
        <x:v>awareness_level</x:v>
      </x:c>
      <x:c r="B37" s="28" t="str"/>
      <x:c r="C37" s="28" t="str">
        <x:v>Consciente do método</x:v>
      </x:c>
      <x:c r="D37" s="28" t="str">
        <x:v>Nível de consciência.</x:v>
      </x:c>
    </x:row>
    <x:row r="38">
      <x:c r="A38" s="28" t="str">
        <x:v>awareness_level</x:v>
      </x:c>
      <x:c r="B38" s="28" t="str"/>
      <x:c r="C38" s="28" t="str">
        <x:v>Consciente do produto</x:v>
      </x:c>
      <x:c r="D38" s="28" t="str">
        <x:v>Nível de consciência.</x:v>
      </x:c>
    </x:row>
    <x:row r="39">
      <x:c r="A39" s="28" t="str">
        <x:v>awareness_level</x:v>
      </x:c>
      <x:c r="B39" s="28" t="str"/>
      <x:c r="C39" s="28" t="str">
        <x:v>Pronto para ação</x:v>
      </x:c>
      <x:c r="D39" s="28" t="str">
        <x:v>Nível de consciência.</x:v>
      </x:c>
    </x:row>
  </x:sheetData>
  <x:pageMargins left="0.7" right="0.7" top="0.75" bottom="0.75" header="0.3" footer="0.3"/>
  <x:tableParts count="1">
    <x:tablePart xmlns:r="http://schemas.openxmlformats.org/officeDocument/2006/relationships" r:id="R63066ece7ad54a2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46" hidden="0" customWidth="1"/>
    <x:col min="5" max="5" width="32" hidden="0" customWidth="1"/>
    <x:col min="6" max="6" width="28" hidden="0" customWidth="1"/>
    <x:col min="7" max="7" width="28" hidden="0" customWidth="1"/>
    <x:col min="8" max="8" width="12" hidden="0" customWidth="1"/>
  </x:cols>
  <x:sheetData>
    <x:row r="1">
      <x:c r="A1" s="16" t="str">
        <x:v>step</x:v>
      </x:c>
      <x:c r="B1" s="33" t="str">
        <x:v>trigger</x:v>
      </x:c>
      <x:c r="C1" s="33" t="str">
        <x:v>required_condition</x:v>
      </x:c>
      <x:c r="D1" s="33" t="str">
        <x:v>system_action</x:v>
      </x:c>
      <x:c r="E1" s="33" t="str">
        <x:v>output</x:v>
      </x:c>
      <x:c r="F1" s="33" t="str">
        <x:v>gate</x:v>
      </x:c>
      <x:c r="G1" s="33" t="str">
        <x:v>human_decision</x:v>
      </x:c>
      <x:c r="H1" s="17" t="str">
        <x:v>status</x:v>
      </x:c>
    </x:row>
    <x:row r="2">
      <x:c r="A2" s="28" t="n">
        <x:v>1</x:v>
      </x:c>
      <x:c r="B2" s="28" t="str">
        <x:v>Novo PROBLEM</x:v>
      </x:c>
      <x:c r="C2" s="28" t="str">
        <x:v>problem_id + título + contexto</x:v>
      </x:c>
      <x:c r="D2" s="28" t="str">
        <x:v>Criar registro canônico</x:v>
      </x:c>
      <x:c r="E2" s="28" t="str">
        <x:v>RC-PROBLEM-NNN</x:v>
      </x:c>
      <x:c r="F2" s="28" t="str">
        <x:v>Pesquisa necessária</x:v>
      </x:c>
      <x:c r="G2" s="28" t="str">
        <x:v>Aprovar relevância</x:v>
      </x:c>
      <x:c r="H2" s="28" t="str">
        <x:v>Ativo</x:v>
      </x:c>
    </x:row>
    <x:row r="3">
      <x:c r="A3" s="28" t="n">
        <x:v>2</x:v>
      </x:c>
      <x:c r="B3" s="28" t="str">
        <x:v>Status = Pesquisa</x:v>
      </x:c>
      <x:c r="C3" s="28" t="str">
        <x:v>Problema definido</x:v>
      </x:c>
      <x:c r="D3" s="28" t="str">
        <x:v>Relacionar risco/custo/evidência/domínios</x:v>
      </x:c>
      <x:c r="E3" s="28" t="str">
        <x:v>Brief metodológico</x:v>
      </x:c>
      <x:c r="F3" s="28" t="str">
        <x:v>Evidência suficiente</x:v>
      </x:c>
      <x:c r="G3" s="28" t="str">
        <x:v>Validar claims</x:v>
      </x:c>
      <x:c r="H3" s="28" t="str">
        <x:v>Ativo</x:v>
      </x:c>
    </x:row>
    <x:row r="4">
      <x:c r="A4" s="28" t="n">
        <x:v>3</x:v>
      </x:c>
      <x:c r="B4" s="28" t="str">
        <x:v>Status = Validado</x:v>
      </x:c>
      <x:c r="C4" s="28" t="str">
        <x:v>Solução definida</x:v>
      </x:c>
      <x:c r="D4" s="28" t="str">
        <x:v>Criar/ligar RC-SOLUTION-NNN</x:v>
      </x:c>
      <x:c r="E4" s="28" t="str">
        <x:v>Solution record</x:v>
      </x:c>
      <x:c r="F4" s="28" t="str">
        <x:v>Solução materializável</x:v>
      </x:c>
      <x:c r="G4" s="28" t="str">
        <x:v>Aprovar intervenção</x:v>
      </x:c>
      <x:c r="H4" s="28" t="str">
        <x:v>Ativo</x:v>
      </x:c>
    </x:row>
    <x:row r="5">
      <x:c r="A5" s="28" t="n">
        <x:v>4</x:v>
      </x:c>
      <x:c r="B5" s="28" t="str">
        <x:v>Solution = Ativa</x:v>
      </x:c>
      <x:c r="C5" s="28" t="str">
        <x:v>Brief 10Q completo</x:v>
      </x:c>
      <x:c r="D5" s="28" t="str">
        <x:v>Gerar 12 registros de asset</x:v>
      </x:c>
      <x:c r="E5" s="28" t="str">
        <x:v>CAR/REEL/STORY/PROMPT/HTML/ART/IMG/PDF/PRISMA/NEWS/CTA/LINKEDIN</x:v>
      </x:c>
      <x:c r="F5" s="28" t="str">
        <x:v>Todos herdam fonte canônica</x:v>
      </x:c>
      <x:c r="G5" s="28" t="str">
        <x:v>Priorizar produção</x:v>
      </x:c>
      <x:c r="H5" s="28" t="str">
        <x:v>Ativo</x:v>
      </x:c>
    </x:row>
    <x:row r="6">
      <x:c r="A6" s="28" t="n">
        <x:v>5</x:v>
      </x:c>
      <x:c r="B6" s="28" t="str">
        <x:v>Asset = Produção</x:v>
      </x:c>
      <x:c r="C6" s="28" t="str">
        <x:v>Template disponível</x:v>
      </x:c>
      <x:c r="D6" s="28" t="str">
        <x:v>Adaptar copy e formato sem refazer pesquisa</x:v>
      </x:c>
      <x:c r="E6" s="28" t="str">
        <x:v>Asset V1</x:v>
      </x:c>
      <x:c r="F6" s="28" t="str">
        <x:v>Revisão editorial</x:v>
      </x:c>
      <x:c r="G6" s="28" t="str">
        <x:v>Revisar</x:v>
      </x:c>
      <x:c r="H6" s="28" t="str">
        <x:v>Ativo</x:v>
      </x:c>
    </x:row>
    <x:row r="7">
      <x:c r="A7" s="28" t="n">
        <x:v>6</x:v>
      </x:c>
      <x:c r="B7" s="28" t="str">
        <x:v>Asset = Aprovado</x:v>
      </x:c>
      <x:c r="C7" s="28" t="str">
        <x:v>Canal/data definidos</x:v>
      </x:c>
      <x:c r="D7" s="28" t="str">
        <x:v>Agendar/publicar</x:v>
      </x:c>
      <x:c r="E7" s="28" t="str">
        <x:v>URL/publicação</x:v>
      </x:c>
      <x:c r="F7" s="28" t="str">
        <x:v>CTA + tracking</x:v>
      </x:c>
      <x:c r="G7" s="28" t="str">
        <x:v>Autorizar publicação</x:v>
      </x:c>
      <x:c r="H7" s="28" t="str">
        <x:v>Ativo</x:v>
      </x:c>
    </x:row>
    <x:row r="8">
      <x:c r="A8" s="28" t="n">
        <x:v>7</x:v>
      </x:c>
      <x:c r="B8" s="28" t="str">
        <x:v>Asset = Publicado</x:v>
      </x:c>
      <x:c r="C8" s="28" t="str">
        <x:v>Métricas disponíveis</x:v>
      </x:c>
      <x:c r="D8" s="28" t="str">
        <x:v>Registrar views/saves/shares/clicks/uses/leads</x:v>
      </x:c>
      <x:c r="E8" s="28" t="str">
        <x:v>Métrica por asset/problema</x:v>
      </x:c>
      <x:c r="F8" s="28" t="str">
        <x:v>Janela de medição</x:v>
      </x:c>
      <x:c r="G8" s="28" t="str">
        <x:v>Interpretar resultado</x:v>
      </x:c>
      <x:c r="H8" s="28" t="str">
        <x:v>Ativo</x:v>
      </x:c>
    </x:row>
    <x:row r="9">
      <x:c r="A9" s="28" t="n">
        <x:v>8</x:v>
      </x:c>
      <x:c r="B9" s="28" t="str">
        <x:v>Status = Medido</x:v>
      </x:c>
      <x:c r="C9" s="28" t="str">
        <x:v>Resultado comparável</x:v>
      </x:c>
      <x:c r="D9" s="28" t="str">
        <x:v>Decidir reciclar/atualizar/arquivar</x:v>
      </x:c>
      <x:c r="E9" s="28" t="str">
        <x:v>Nova versão ou encerramento</x:v>
      </x:c>
      <x:c r="F9" s="28" t="str">
        <x:v>Aprendizado registrado</x:v>
      </x:c>
      <x:c r="G9" s="28" t="str">
        <x:v>Aprovar próxima iteração</x:v>
      </x:c>
      <x:c r="H9" s="28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d4f37d460bc745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4" max="4" width="28" hidden="0" customWidth="1"/>
    <x:col min="5" max="5" width="16" hidden="0" customWidth="1"/>
  </x:cols>
  <x:sheetData>
    <x:row r="1">
      <x:c r="A1" s="4" t="str">
        <x:v>MASTER EDITORIAL · PAINEL OPERACIONAL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KPI</x:v>
      </x:c>
      <x:c r="B3" s="17" t="str">
        <x:v>Valor</x:v>
      </x:c>
      <x:c r="C3" s="28"/>
      <x:c r="D3" s="16" t="str">
        <x:v>Indicador</x:v>
      </x:c>
      <x:c r="E3" s="17" t="str">
        <x:v>Valor</x:v>
      </x:c>
    </x:row>
    <x:row r="4">
      <x:c r="A4" s="28" t="str">
        <x:v>Problemas cadastrados</x:v>
      </x:c>
      <x:c r="B4" s="28" t="n">
        <x:f>COUNTA('01_PROBLEMS'!$A$2:$A$50)</x:f>
        <x:v>1</x:v>
      </x:c>
      <x:c r="C4" s="28"/>
      <x:c r="D4" s="28" t="str">
        <x:v>Meta assets/problema</x:v>
      </x:c>
      <x:c r="E4" s="28" t="n">
        <x:v>12</x:v>
      </x:c>
    </x:row>
    <x:row r="5">
      <x:c r="A5" s="28" t="str">
        <x:v>Soluções cadastradas</x:v>
      </x:c>
      <x:c r="B5" s="28" t="n">
        <x:f>COUNTA('02_SOLUTIONS'!$A$2:$A$100)</x:f>
        <x:v>1</x:v>
      </x:c>
      <x:c r="C5" s="28"/>
      <x:c r="D5" s="28" t="str">
        <x:v>Problemas validados</x:v>
      </x:c>
      <x:c r="E5" s="28" t="n">
        <x:f>COUNTIF('01_PROBLEMS'!$U$2:$U$50,"Validado")</x:f>
        <x:v>1</x:v>
      </x:c>
    </x:row>
    <x:row r="6">
      <x:c r="A6" s="28" t="str">
        <x:v>Assets gerados</x:v>
      </x:c>
      <x:c r="B6" s="28" t="n">
        <x:f>COUNTA('03_ASSET_FACTORY'!$A$2:$A$300)</x:f>
        <x:v>12</x:v>
      </x:c>
      <x:c r="C6" s="28"/>
      <x:c r="D6" s="28" t="str">
        <x:v>Problemas publicados</x:v>
      </x:c>
      <x:c r="E6" s="28" t="n">
        <x:f>COUNTIF('01_PROBLEMS'!$U$2:$U$50,"Publicado")</x:f>
        <x:v>0</x:v>
      </x:c>
    </x:row>
    <x:row r="7">
      <x:c r="A7" s="28" t="str">
        <x:v>Assets publicados</x:v>
      </x:c>
      <x:c r="B7" s="28" t="n">
        <x:f>COUNTIF('03_ASSET_FACTORY'!$O$2:$O$300,"Publicado")</x:f>
        <x:v>0</x:v>
      </x:c>
      <x:c r="C7" s="28"/>
      <x:c r="D7" s="28" t="str">
        <x:v>Taxa conteúdo→ferramenta</x:v>
      </x:c>
      <x:c r="E7" s="42" t="n">
        <x:f>IFERROR(SUM('06_METRICS'!$F$2:$F$200)/SUM('06_METRICS'!$C$2:$C$200),0)</x:f>
        <x:v>0</x:v>
      </x:c>
    </x:row>
    <x:row r="8">
      <x:c r="A8" s="28" t="str">
        <x:v>Usos de ferramentas</x:v>
      </x:c>
      <x:c r="B8" s="28" t="n">
        <x:f>SUM('06_METRICS'!$F$2:$F$200)</x:f>
        <x:v>0</x:v>
      </x:c>
      <x:c r="C8" s="28"/>
      <x:c r="D8" s="28" t="str">
        <x:v>Taxa ajuda→compra</x:v>
      </x:c>
      <x:c r="E8" s="42" t="n">
        <x:f>IFERROR(SUM('06_METRICS'!$K$2:$K$200)/SUM('06_METRICS'!$J$2:$J$200),0)</x:f>
        <x:v>0</x:v>
      </x:c>
    </x:row>
    <x:row r="11">
      <x:c r="A11" s="16" t="str">
        <x:v>Formato</x:v>
      </x:c>
      <x:c r="B11" s="17" t="str">
        <x:v>Qtd.</x:v>
      </x:c>
    </x:row>
    <x:row r="12">
      <x:c r="A12" t="str">
        <x:v>Carrossel</x:v>
      </x:c>
      <x:c r="B12" t="n">
        <x:f>COUNTIF('03_ASSET_FACTORY'!$D$2:$D$300,A12)</x:f>
        <x:v>1</x:v>
      </x:c>
    </x:row>
    <x:row r="13">
      <x:c r="A13" t="str">
        <x:v>Reel</x:v>
      </x:c>
      <x:c r="B13" t="n">
        <x:f>COUNTIF('03_ASSET_FACTORY'!$D$2:$D$300,A13)</x:f>
        <x:v>1</x:v>
      </x:c>
    </x:row>
    <x:row r="14">
      <x:c r="A14" t="str">
        <x:v>Story</x:v>
      </x:c>
      <x:c r="B14" t="n">
        <x:f>COUNTIF('03_ASSET_FACTORY'!$D$2:$D$300,A14)</x:f>
        <x:v>1</x:v>
      </x:c>
    </x:row>
    <x:row r="15">
      <x:c r="A15" t="str">
        <x:v>Prompt</x:v>
      </x:c>
      <x:c r="B15" t="n">
        <x:f>COUNTIF('03_ASSET_FACTORY'!$D$2:$D$300,A15)</x:f>
        <x:v>1</x:v>
      </x:c>
    </x:row>
    <x:row r="16">
      <x:c r="A16" t="str">
        <x:v>HTML</x:v>
      </x:c>
      <x:c r="B16" t="n">
        <x:f>COUNTIF('03_ASSET_FACTORY'!$D$2:$D$300,A16)</x:f>
        <x:v>1</x:v>
      </x:c>
    </x:row>
    <x:row r="17">
      <x:c r="A17" t="str">
        <x:v>Artigo</x:v>
      </x:c>
      <x:c r="B17" t="n">
        <x:f>COUNTIF('03_ASSET_FACTORY'!$D$2:$D$300,A17)</x:f>
        <x:v>1</x:v>
      </x:c>
    </x:row>
    <x:row r="18">
      <x:c r="A18" t="str">
        <x:v>Imagem</x:v>
      </x:c>
      <x:c r="B18" t="n">
        <x:f>COUNTIF('03_ASSET_FACTORY'!$D$2:$D$300,A18)</x:f>
        <x:v>1</x:v>
      </x:c>
    </x:row>
    <x:row r="19">
      <x:c r="A19" t="str">
        <x:v>PDF</x:v>
      </x:c>
      <x:c r="B19" t="n">
        <x:f>COUNTIF('03_ASSET_FACTORY'!$D$2:$D$300,A19)</x:f>
        <x:v>1</x:v>
      </x:c>
    </x:row>
    <x:row r="20">
      <x:c r="A20" t="str">
        <x:v>Prisma</x:v>
      </x:c>
      <x:c r="B20" t="n">
        <x:f>COUNTIF('03_ASSET_FACTORY'!$D$2:$D$300,A20)</x:f>
        <x:v>1</x:v>
      </x:c>
    </x:row>
    <x:row r="21">
      <x:c r="A21" t="str">
        <x:v>Newsletter</x:v>
      </x:c>
      <x:c r="B21" t="n">
        <x:f>COUNTIF('03_ASSET_FACTORY'!$D$2:$D$300,A21)</x:f>
        <x:v>1</x:v>
      </x:c>
    </x:row>
    <x:row r="22">
      <x:c r="A22" t="str">
        <x:v>CTA</x:v>
      </x:c>
      <x:c r="B22" t="n">
        <x:f>COUNTIF('03_ASSET_FACTORY'!$D$2:$D$300,A22)</x:f>
        <x:v>1</x:v>
      </x:c>
    </x:row>
    <x:row r="23">
      <x:c r="A23" t="str">
        <x:v>LinkedIn</x:v>
      </x:c>
      <x:c r="B23" t="n">
        <x:f>COUNTIF('03_ASSET_FACTORY'!$D$2:$D$300,A23)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a6b0ecf5b3743d2"/>
</x:worksheet>
</file>