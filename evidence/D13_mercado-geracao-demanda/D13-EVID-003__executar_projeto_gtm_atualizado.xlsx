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tables/table3.xml" ContentType="application/vnd.openxmlformats-officedocument.spreadsheetml.table+xml"/>
  <Override PartName="/xl/worksheets/sheet14.xml" ContentType="application/vnd.openxmlformats-officedocument.spreadsheetml.worksheet+xml"/>
  <Override PartName="/xl/tables/table4.xml" ContentType="application/vnd.openxmlformats-officedocument.spreadsheetml.table+xml"/>
  <Override PartName="/xl/worksheets/sheet15.xml" ContentType="application/vnd.openxmlformats-officedocument.spreadsheetml.worksheet+xml"/>
  <Override PartName="/xl/tables/table5.xml" ContentType="application/vnd.openxmlformats-officedocument.spreadsheetml.table+xml"/>
  <Override PartName="/xl/worksheets/sheet16.xml" ContentType="application/vnd.openxmlformats-officedocument.spreadsheetml.worksheet+xml"/>
  <Override PartName="/xl/tables/table6.xml" ContentType="application/vnd.openxmlformats-officedocument.spreadsheetml.table+xml"/>
  <Override PartName="/xl/worksheets/sheet1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e0d092062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eia-me" sheetId="1" r:id="R76b11336d7914bf5"/>
    <x:sheet xmlns:r="http://schemas.openxmlformats.org/officeDocument/2006/relationships" name="01_Formulario" sheetId="2" r:id="R63b68ea38bdf4b24"/>
    <x:sheet xmlns:r="http://schemas.openxmlformats.org/officeDocument/2006/relationships" name="02_Visao_Geral" sheetId="3" r:id="Rc5ff207a8c5844ce"/>
    <x:sheet xmlns:r="http://schemas.openxmlformats.org/officeDocument/2006/relationships" name="03_Arquitetura_Tecnica" sheetId="4" r:id="R13f529e8a50a411b"/>
    <x:sheet xmlns:r="http://schemas.openxmlformats.org/officeDocument/2006/relationships" name="04_Operacao_Seguranca" sheetId="5" r:id="R6913230bda2b4a56"/>
    <x:sheet xmlns:r="http://schemas.openxmlformats.org/officeDocument/2006/relationships" name="05_Gestao_Projetos" sheetId="6" r:id="R85755036114e4fd8"/>
    <x:sheet xmlns:r="http://schemas.openxmlformats.org/officeDocument/2006/relationships" name="06_Roadmap_Editorial" sheetId="7" r:id="Rd923126dc3d04aa4"/>
    <x:sheet xmlns:r="http://schemas.openxmlformats.org/officeDocument/2006/relationships" name="07_Conhecimento_Stakeholders" sheetId="8" r:id="R8d064f94c7424ae9"/>
    <x:sheet xmlns:r="http://schemas.openxmlformats.org/officeDocument/2006/relationships" name="08_Skills_Plataformas" sheetId="9" r:id="R42472e5c22ce4171"/>
    <x:sheet xmlns:r="http://schemas.openxmlformats.org/officeDocument/2006/relationships" name="09_Indice_IDs" sheetId="10" r:id="R862d008b30824c5a"/>
    <x:sheet xmlns:r="http://schemas.openxmlformats.org/officeDocument/2006/relationships" name="10_Painel_Areas" sheetId="11" r:id="R717726c6f4e445b7"/>
    <x:sheet xmlns:r="http://schemas.openxmlformats.org/officeDocument/2006/relationships" name="11_Plano_Projeto" sheetId="12" r:id="R268f471e91834684"/>
    <x:sheet xmlns:r="http://schemas.openxmlformats.org/officeDocument/2006/relationships" name="12_Packs" sheetId="13" r:id="Rabb6d14388384a60"/>
    <x:sheet xmlns:r="http://schemas.openxmlformats.org/officeDocument/2006/relationships" name="13_Decisoes" sheetId="14" r:id="Rea36d1178a2b41f8"/>
    <x:sheet xmlns:r="http://schemas.openxmlformats.org/officeDocument/2006/relationships" name="14_Rastreabilidade" sheetId="15" r:id="R6a2375c1c7e24364"/>
    <x:sheet xmlns:r="http://schemas.openxmlformats.org/officeDocument/2006/relationships" name="15_Fontes_GTM" sheetId="16" r:id="Rcaaa39979a1b41b4"/>
    <x:sheet xmlns:r="http://schemas.openxmlformats.org/officeDocument/2006/relationships" name="16_Canais" sheetId="17" r:id="R87343fb58e144427"/>
  </x:sheets>
</x:workbook>
</file>

<file path=xl/sharedStrings.xml><?xml version="1.0" encoding="utf-8"?>
<x:sst xmlns:x="http://schemas.openxmlformats.org/spreadsheetml/2006/main">
  <x:si>
    <x:t xml:space="preserve">Leia-me — instruções para humano e para agente de AI</x:t>
  </x:si>
  <x:si>
    <x:t xml:space="preserve">O QUE É ESTE ARQUIVO</x:t>
  </x:si>
  <x:si>
    <x:t xml:space="preserve">COMO NAVEGAR (para agente de AI)</x:t>
  </x:si>
  <x:si>
    <x:t xml:space="preserve">1. Leia esta aba (00_Leia-me) inteira antes de tocar em qualquer outra célula.</x:t>
  </x:si>
  <x:si>
    <x:t xml:space="preserve">2. A aba 01_Formulario é a ÚNICA aba com campos editáveis pelo humano. Cada linha tem um ID numérico único (coluna B, formato D#.##, onde D é o número do domínio 1-17).</x:t>
  </x:si>
  <x:si>
    <x:t xml:space="preserve">3. Células editáveis em 01_Formulario têm preenchimento amarelo-claro (fill FFFDEB) na coluna 'Resposta'. Células sem esse fill são somente leitura.</x:t>
  </x:si>
  <x:si>
    <x:t xml:space="preserve">4. As abas 02 a 08 (02_Visao_Geral, 03_Arquitetura_Tecnica, 04_Operacao_Seguranca, 05_Gestao_Projetos, 06_Roadmap_Editorial, 07_Conhecimento_Stakeholders, 08_Skills_Plataformas) são saídas derivadas — cada célula nelas é uma fórmula INDEX/MATCH contra 01_Formulario, nunca um valor fixo.</x:t>
  </x:si>
  <x:si>
    <x:t xml:space="preserve">5. Para atualizar o projeto: edite apenas 01_Formulario. Todo o resto recalcula sozinho.</x:t>
  </x:si>
  <x:si>
    <x:t xml:space="preserve">6. A aba 09_Indice_IDs é um mapa reverso: todo ID numérico do formulário, o que ele significa, e em qual aba de saída ele aparece. Use-a para localizar rapidamente onde um dado específico vive.</x:t>
  </x:si>
  <x:si>
    <x:t xml:space="preserve">ESTRUTURA DE ABAS</x:t>
  </x:si>
  <x:si>
    <x:t xml:space="preserve">00_Leia-me — este documento.</x:t>
  </x:si>
  <x:si>
    <x:t xml:space="preserve">01_Formulario — entrypoint único. 17 domínios, 94 linhas numeradas. É a fonte da verdade.</x:t>
  </x:si>
  <x:si>
    <x:t xml:space="preserve">02_Visao_Geral — negócio, GTM, unit economics e produto (domínios 1-2).</x:t>
  </x:si>
  <x:si>
    <x:t xml:space="preserve">03_Arquitetura_Tecnica — full stack, infraestrutura, implementação (domínios 3-4).</x:t>
  </x:si>
  <x:si>
    <x:t xml:space="preserve">04_Operacao_Seguranca — deploy, rollback, governança, segurança, documentação (domínios 5-7).</x:t>
  </x:si>
  <x:si>
    <x:t xml:space="preserve">05_Gestao_Projetos — PMBOK e os três horizontes de planejamento (domínios 8-9).</x:t>
  </x:si>
  <x:si>
    <x:t xml:space="preserve">06_Roadmap_Editorial — marcos, ciclos, backlog e frente editorial (domínios 10-11).</x:t>
  </x:si>
  <x:si>
    <x:t xml:space="preserve">07_Conhecimento_Stakeholders — stakeholders, runbooks e base de conhecimento (domínios 12-14).</x:t>
  </x:si>
  <x:si>
    <x:t xml:space="preserve">08_Skills_Plataformas — ferramentas, plataformas e prompt engineering (domínios 15-17).</x:t>
  </x:si>
  <x:si>
    <x:t xml:space="preserve">09_Indice_IDs — mapa reverso ID → domínio → aba de destino.</x:t>
  </x:si>
  <x:si>
    <x:t xml:space="preserve">CONVENÇÃO DE CORES</x:t>
  </x:si>
  <x:si>
    <x:t xml:space="preserve">Preto — texto e rótulos fixos (não editar).</x:t>
  </x:si>
  <x:si>
    <x:t xml:space="preserve">Amarelo-claro (fill) — célula editável pelo humano em 01_Formulario. É a única cor de input.</x:t>
  </x:si>
  <x:si>
    <x:t xml:space="preserve">Azul (texto) — fórmula ou referência a outra aba (link vivo, não digite valores aqui).</x:t>
  </x:si>
  <x:si>
    <x:t xml:space="preserve">Cinza-claro (painel) — cabeçalho de seção ou domínio, apenas organizacional.</x:t>
  </x:si>
  <x:si>
    <x:t xml:space="preserve">REGRAS PARA O AGENTE DE AI</x:t>
  </x:si>
  <x:si>
    <x:t xml:space="preserve">— Nunca sobrescreva uma fórmula com um valor fixo, mesmo que pareça mais simples.</x:t>
  </x:si>
  <x:si>
    <x:t xml:space="preserve">— Nunca invente conteúdo para uma célula de 01_Formulario que o humano deixou em branco; deixe em branco e, se relevante, sinalize a lacuna na conversa.</x:t>
  </x:si>
  <x:si>
    <x:t xml:space="preserve">— Ao adicionar uma nova aba de saída, sempre referencie 01_Formulario por fórmula, nunca copie o valor.</x:t>
  </x:si>
  <x:si>
    <x:t xml:space="preserve">— Se o humano pedir para 'atualizar X', localize o ID correspondente na aba 09_Indice_IDs primeiro.</x:t>
  </x:si>
  <x:si>
    <x:t xml:space="preserve">— Domínios 1-7 são herdados do modelo original — seus IDs nunca podem ser renumerados. Domínios 8-17 são a expansão; novos domínios futuros continuam a partir de 18 em diante.</x:t>
  </x:si>
  <x:si>
    <x:t xml:space="preserve">— Este arquivo é compatível com Apple Numbers (abre .xlsx nativamente) e Excel/LibreOffice.</x:t>
  </x:si>
  <x:si>
    <x:t xml:space="preserve">ID</x:t>
  </x:si>
  <x:si>
    <x:t xml:space="preserve">Campo</x:t>
  </x:si>
  <x:si>
    <x:t xml:space="preserve">O que preencher</x:t>
  </x:si>
  <x:si>
    <x:t xml:space="preserve">Resposta</x:t>
  </x:si>
  <x:si>
    <x:t xml:space="preserve">Exemplo (referência)</x:t>
  </x:si>
  <x:si>
    <x:t xml:space="preserve">DOMÍNIO 1 — NEGÓCIO &amp; GTM</x:t>
  </x:si>
  <x:si>
    <x:t xml:space="preserve">Por que o produto existe, para quem, e como se sustenta financeiramente</x:t>
  </x:si>
  <x:si>
    <x:t xml:space="preserve">1.1</x:t>
  </x:si>
  <x:si>
    <x:t xml:space="preserve">Problema central</x:t>
  </x:si>
  <x:si>
    <x:t xml:space="preserve">Descreva em 1 frase o problema que o produto resolve.</x:t>
  </x:si>
  <x:si>
    <x:t xml:space="preserve">Ex: Equipes técnicas perdem contexto entre sessões de IA e retrabalham decisões já tomadas.</x:t>
  </x:si>
  <x:si>
    <x:t xml:space="preserve">1.2</x:t>
  </x:si>
  <x:si>
    <x:t xml:space="preserve">Público-alvo / ICP</x:t>
  </x:si>
  <x:si>
    <x:t xml:space="preserve">Quem é o cliente ideal — perfil, tamanho, contexto de uso.</x:t>
  </x:si>
  <x:si>
    <x:t xml:space="preserve">Ex: Founders técnicos solo ou squads pequenos construindo produtos com IA integrada.</x:t>
  </x:si>
  <x:si>
    <x:t xml:space="preserve">1.3</x:t>
  </x:si>
  <x:si>
    <x:t xml:space="preserve">Proposta de valor</x:t>
  </x:si>
  <x:si>
    <x:t xml:space="preserve">O que torna esse produto a escolha óbvia frente a alternativas.</x:t>
  </x:si>
  <x:si>
    <x:t xml:space="preserve">Ex: Único agente que mantém memória estruturada entre sessões sem configuração manual.</x:t>
  </x:si>
  <x:si>
    <x:t xml:space="preserve">1.4</x:t>
  </x:si>
  <x:si>
    <x:t xml:space="preserve">Canais de aquisição</x:t>
  </x:si>
  <x:si>
    <x:t xml:space="preserve">Como novos usuários vão descobrir o produto (orgânico, paid, parcerias, comunidade).</x:t>
  </x:si>
  <x:si>
    <x:t xml:space="preserve">Ex: Conteúdo técnico + comunidade de early adopters + parcerias com ferramentas complementares.</x:t>
  </x:si>
  <x:si>
    <x:t xml:space="preserve">1.5</x:t>
  </x:si>
  <x:si>
    <x:t xml:space="preserve">Métrica North Star</x:t>
  </x:si>
  <x:si>
    <x:t xml:space="preserve">A métrica única que melhor representa sucesso do produto.</x:t>
  </x:si>
  <x:si>
    <x:t xml:space="preserve">Ex: Número de sessões semanais com reuso de contexto salvo.</x:t>
  </x:si>
  <x:si>
    <x:t xml:space="preserve">1.6</x:t>
  </x:si>
  <x:si>
    <x:t xml:space="preserve">Métricas guardrail</x:t>
  </x:si>
  <x:si>
    <x:t xml:space="preserve">Métricas que não podem degradar enquanto a North Star sobe.</x:t>
  </x:si>
  <x:si>
    <x:t xml:space="preserve">Ex: Latência de resposta, taxa de erro em produção.</x:t>
  </x:si>
  <x:si>
    <x:t xml:space="preserve">1.7</x:t>
  </x:si>
  <x:si>
    <x:t xml:space="preserve">CAC (custo de aquisição)</x:t>
  </x:si>
  <x:si>
    <x:t xml:space="preserve">Custo estimado para adquirir um cliente pagante.</x:t>
  </x:si>
  <x:si>
    <x:t xml:space="preserve">Ex: A definir após primeiro ciclo de aquisição paga.</x:t>
  </x:si>
  <x:si>
    <x:t xml:space="preserve">1.8</x:t>
  </x:si>
  <x:si>
    <x:t xml:space="preserve">LTV (valor do tempo de vida)</x:t>
  </x:si>
  <x:si>
    <x:t xml:space="preserve">Valor estimado que um cliente gera ao longo do relacionamento.</x:t>
  </x:si>
  <x:si>
    <x:t xml:space="preserve">Ex: A definir com base em churn projetado.</x:t>
  </x:si>
  <x:si>
    <x:t xml:space="preserve">1.9</x:t>
  </x:si>
  <x:si>
    <x:t xml:space="preserve">Margem por unidade/usuário</x:t>
  </x:si>
  <x:si>
    <x:t xml:space="preserve">Custo variável (infra, API/tokens) por usuário ativo vs. receita.</x:t>
  </x:si>
  <x:si>
    <x:t xml:space="preserve">Ex: Custo de API de IA por usuário/mês vs. preço do plano.</x:t>
  </x:si>
  <x:si>
    <x:t xml:space="preserve">1.10</x:t>
  </x:si>
  <x:si>
    <x:t xml:space="preserve">Ponto de equilíbrio (breakeven)</x:t>
  </x:si>
  <x:si>
    <x:t xml:space="preserve">Quantos clientes/receita necessários para cobrir custos fixos.</x:t>
  </x:si>
  <x:si>
    <x:t xml:space="preserve">Ex: N clientes no plano X cobrem a infraestrutura base mensal.</x:t>
  </x:si>
  <x:si>
    <x:t xml:space="preserve">1.11</x:t>
  </x:si>
  <x:si>
    <x:t xml:space="preserve">Teto de gasto de infraestrutura</x:t>
  </x:si>
  <x:si>
    <x:t xml:space="preserve">Limite mensal aprovado por serviço (hosting, banco, API de IA).</x:t>
  </x:si>
  <x:si>
    <x:t xml:space="preserve">Ex: Vercel $X, Supabase $X, Anthropic API $X — tetos configurados no console de cada provedor.</x:t>
  </x:si>
  <x:si>
    <x:t xml:space="preserve">1.12</x:t>
  </x:si>
  <x:si>
    <x:t xml:space="preserve">Gatilhos de upgrade de infra</x:t>
  </x:si>
  <x:si>
    <x:t xml:space="preserve">Condição objetiva que dispara upgrade de plano/tier.</x:t>
  </x:si>
  <x:si>
    <x:t xml:space="preserve">Ex: Uso de API acima de 80% do teto por 3 dias consecutivos.</x:t>
  </x:si>
  <x:si>
    <x:t xml:space="preserve">DOMÍNIO 2 — PRODUTO</x:t>
  </x:si>
  <x:si>
    <x:t xml:space="preserve">PRD, requisitos funcionais e jornada do usuário — a mesma informação em três granularidades</x:t>
  </x:si>
  <x:si>
    <x:t xml:space="preserve">2.1</x:t>
  </x:si>
  <x:si>
    <x:t xml:space="preserve">Nome do produto/feature</x:t>
  </x:si>
  <x:si>
    <x:t xml:space="preserve">Nome de referência usado em toda a documentação.</x:t>
  </x:si>
  <x:si>
    <x:t xml:space="preserve">Ex: EXECUTA Journal</x:t>
  </x:si>
  <x:si>
    <x:t xml:space="preserve">2.2</x:t>
  </x:si>
  <x:si>
    <x:t xml:space="preserve">Contexto do PRD</x:t>
  </x:si>
  <x:si>
    <x:t xml:space="preserve">Situação atual e por que este produto/feature é necessário agora.</x:t>
  </x:si>
  <x:si>
    <x:t xml:space="preserve">Ex: Publicação editorial hoje exige edição manual de código; produto elimina essa fricção.</x:t>
  </x:si>
  <x:si>
    <x:t xml:space="preserve">2.3</x:t>
  </x:si>
  <x:si>
    <x:t xml:space="preserve">Objetivos (goals)</x:t>
  </x:si>
  <x:si>
    <x:t xml:space="preserve">O que o produto DEVE alcançar, de forma verificável.</x:t>
  </x:si>
  <x:si>
    <x:t xml:space="preserve">Ex: Permitir publicar um artigo do celular sem tocar em código.</x:t>
  </x:si>
  <x:si>
    <x:t xml:space="preserve">2.4</x:t>
  </x:si>
  <x:si>
    <x:t xml:space="preserve">Não-objetivos (non-goals)</x:t>
  </x:si>
  <x:si>
    <x:t xml:space="preserve">O que está explicitamente fora de escopo, para evitar scope creep.</x:t>
  </x:si>
  <x:si>
    <x:t xml:space="preserve">Ex: Não inclui edição colaborativa multi-usuário nesta fase.</x:t>
  </x:si>
  <x:si>
    <x:t xml:space="preserve">2.5</x:t>
  </x:si>
  <x:si>
    <x:t xml:space="preserve">Requisitos funcionais (FRD)</x:t>
  </x:si>
  <x:si>
    <x:t xml:space="preserve">Lista testável do que o sistema deve fazer.</x:t>
  </x:si>
  <x:si>
    <x:t xml:space="preserve">Ex: Sistema deve gerar PR automaticamente a partir de um briefing preenchido.</x:t>
  </x:si>
  <x:si>
    <x:t xml:space="preserve">2.6</x:t>
  </x:si>
  <x:si>
    <x:t xml:space="preserve">Critérios de aceite</x:t>
  </x:si>
  <x:si>
    <x:t xml:space="preserve">Como se prova, de forma objetiva, que um requisito foi cumprido.</x:t>
  </x:si>
  <x:si>
    <x:t xml:space="preserve">Ex: Artigo real publicado ponta a ponta sem edição manual de TypeScript.</x:t>
  </x:si>
  <x:si>
    <x:t xml:space="preserve">2.7</x:t>
  </x:si>
  <x:si>
    <x:t xml:space="preserve">Persona principal</x:t>
  </x:si>
  <x:si>
    <x:t xml:space="preserve">Quem usa o produto no dia a dia — nome fictício e papel.</x:t>
  </x:si>
  <x:si>
    <x:t xml:space="preserve">Ex: 'Marina', editora solo que aprova publicações pelo celular.</x:t>
  </x:si>
  <x:si>
    <x:t xml:space="preserve">2.8</x:t>
  </x:si>
  <x:si>
    <x:t xml:space="preserve">Jornada — Descoberta</x:t>
  </x:si>
  <x:si>
    <x:t xml:space="preserve">Como o usuário chega até o produto pela primeira vez.</x:t>
  </x:si>
  <x:si>
    <x:t xml:space="preserve">Ex: Recebe link de preview gerado automaticamente pelo pipeline.</x:t>
  </x:si>
  <x:si>
    <x:t xml:space="preserve">2.9</x:t>
  </x:si>
  <x:si>
    <x:t xml:space="preserve">Jornada — Ativação</x:t>
  </x:si>
  <x:si>
    <x:t xml:space="preserve">O primeiro momento em que o usuário obtém valor real.</x:t>
  </x:si>
  <x:si>
    <x:t xml:space="preserve">Ex: Primeira publicação aprovada e no ar via QR code físico.</x:t>
  </x:si>
  <x:si>
    <x:t xml:space="preserve">2.10</x:t>
  </x:si>
  <x:si>
    <x:t xml:space="preserve">Jornada — Uso recorrente</x:t>
  </x:si>
  <x:si>
    <x:t xml:space="preserve">O que traz o usuário de volta, sessão após sessão.</x:t>
  </x:si>
  <x:si>
    <x:t xml:space="preserve">Ex: Fluxo semanal de briefing → preview → aprovação.</x:t>
  </x:si>
  <x:si>
    <x:t xml:space="preserve">2.11</x:t>
  </x:si>
  <x:si>
    <x:t xml:space="preserve">Momento 'aha'</x:t>
  </x:si>
  <x:si>
    <x:t xml:space="preserve">O instante exato em que o valor fica óbvio para o usuário.</x:t>
  </x:si>
  <x:si>
    <x:t xml:space="preserve">Ex: Ver o artigo publicado automaticamente após aprovar pelo celular.</x:t>
  </x:si>
  <x:si>
    <x:t xml:space="preserve">2.12</x:t>
  </x:si>
  <x:si>
    <x:t xml:space="preserve">User story de referência</x:t>
  </x:si>
  <x:si>
    <x:t xml:space="preserve">Formato: Como [persona], quero [ação] para que [benefício].</x:t>
  </x:si>
  <x:si>
    <x:t xml:space="preserve">Ex: Como editora solo, quero aprovar publicações pelo celular para não depender do computador.</x:t>
  </x:si>
  <x:si>
    <x:t xml:space="preserve">DOMÍNIO 3 — ARQUITETURA &amp; FULL STACK</x:t>
  </x:si>
  <x:si>
    <x:t xml:space="preserve">Como as peças se conectam — front, back, banco, infra, rotas</x:t>
  </x:si>
  <x:si>
    <x:t xml:space="preserve">3.1</x:t>
  </x:si>
  <x:si>
    <x:t xml:space="preserve">Stack — Frontend</x:t>
  </x:si>
  <x:si>
    <x:t xml:space="preserve">Framework, biblioteca de estilo, ferramentas principais.</x:t>
  </x:si>
  <x:si>
    <x:t xml:space="preserve">Ex: Next.js + Tailwind + design tokens DESK-OS.</x:t>
  </x:si>
  <x:si>
    <x:t xml:space="preserve">3.2</x:t>
  </x:si>
  <x:si>
    <x:t xml:space="preserve">Stack — Backend</x:t>
  </x:si>
  <x:si>
    <x:t xml:space="preserve">Runtime, linguagem, framework de servidor.</x:t>
  </x:si>
  <x:si>
    <x:t xml:space="preserve">Ex: Node.js + TypeScript, funções serverless na Vercel.</x:t>
  </x:si>
  <x:si>
    <x:t xml:space="preserve">3.3</x:t>
  </x:si>
  <x:si>
    <x:t xml:space="preserve">Banco de dados</x:t>
  </x:si>
  <x:si>
    <x:t xml:space="preserve">Sistema, provedor, e por quê essa escolha.</x:t>
  </x:si>
  <x:si>
    <x:t xml:space="preserve">Ex: Postgres via Supabase (dados de produto) + Neon (dados serverless).</x:t>
  </x:si>
  <x:si>
    <x:t xml:space="preserve">3.4</x:t>
  </x:si>
  <x:si>
    <x:t xml:space="preserve">Infraestrutura / hosting</x:t>
  </x:si>
  <x:si>
    <x:t xml:space="preserve">Onde a aplicação roda e é servida.</x:t>
  </x:si>
  <x:si>
    <x:t xml:space="preserve">Ex: Vercel (apps), Supabase (auth+db), GitHub (código).</x:t>
  </x:si>
  <x:si>
    <x:t xml:space="preserve">3.5</x:t>
  </x:si>
  <x:si>
    <x:t xml:space="preserve">Autenticação</x:t>
  </x:si>
  <x:si>
    <x:t xml:space="preserve">Método de login e provedor.</x:t>
  </x:si>
  <x:si>
    <x:t xml:space="preserve">Ex: Supabase Auth com email/senha + OAuth Google.</x:t>
  </x:si>
  <x:si>
    <x:t xml:space="preserve">3.6</x:t>
  </x:si>
  <x:si>
    <x:t xml:space="preserve">Estrutura de repositório</x:t>
  </x:si>
  <x:si>
    <x:t xml:space="preserve">Organização de pastas (monorepo, multi-repo, apps/packages).</x:t>
  </x:si>
  <x:si>
    <x:t xml:space="preserve">Ex: Monorepo com apps/ (web-client, orchestrator) e packages/ (core, configs).</x:t>
  </x:si>
  <x:si>
    <x:t xml:space="preserve">3.7</x:t>
  </x:si>
  <x:si>
    <x:t xml:space="preserve">Mapa de rotas principais</x:t>
  </x:si>
  <x:si>
    <x:t xml:space="preserve">Rotas-chave da aplicação e o que cada uma faz.</x:t>
  </x:si>
  <x:si>
    <x:t xml:space="preserve">Ex: /app/journal — editor; /health — status; /api/health — status detalhado.</x:t>
  </x:si>
  <x:si>
    <x:t xml:space="preserve">3.8</x:t>
  </x:si>
  <x:si>
    <x:t xml:space="preserve">Decisão de arquitetura #1 (ADR)</x:t>
  </x:si>
  <x:si>
    <x:t xml:space="preserve">Uma decisão técnica relevante e a alternativa descartada.</x:t>
  </x:si>
  <x:si>
    <x:t xml:space="preserve">Ex: Monorepo único em vez de múltiplos repositórios — decidido para reduzir divergência de versão.</x:t>
  </x:si>
  <x:si>
    <x:t xml:space="preserve">3.9</x:t>
  </x:si>
  <x:si>
    <x:t xml:space="preserve">Decisão de arquitetura #2 (ADR)</x:t>
  </x:si>
  <x:si>
    <x:t xml:space="preserve">Segunda decisão relevante, se houver.</x:t>
  </x:si>
  <x:si>
    <x:t xml:space="preserve">Ex: Origem de produção lida de variável de ambiente, nunca hardcoded.</x:t>
  </x:si>
  <x:si>
    <x:t xml:space="preserve">3.10</x:t>
  </x:si>
  <x:si>
    <x:t xml:space="preserve">Trade-offs aceitos</x:t>
  </x:si>
  <x:si>
    <x:t xml:space="preserve">O que foi conscientemente sacrificado por outra vantagem.</x:t>
  </x:si>
  <x:si>
    <x:t xml:space="preserve">Ex: Menor flexibilidade de deploy independente em troca de consistência de versão.</x:t>
  </x:si>
  <x:si>
    <x:t xml:space="preserve">DOMÍNIO 4 — IMPLEMENTAÇÃO</x:t>
  </x:si>
  <x:si>
    <x:t xml:space="preserve">Backend, frontend, APIs, agentes integrados e dependências</x:t>
  </x:si>
  <x:si>
    <x:t xml:space="preserve">4.1</x:t>
  </x:si>
  <x:si>
    <x:t xml:space="preserve">Modelo de dados / schema</x:t>
  </x:si>
  <x:si>
    <x:t xml:space="preserve">Entidades principais e como se relacionam.</x:t>
  </x:si>
  <x:si>
    <x:t xml:space="preserve">Ex: users, posts, previews, publications — relacionados por post_id.</x:t>
  </x:si>
  <x:si>
    <x:t xml:space="preserve">4.2</x:t>
  </x:si>
  <x:si>
    <x:t xml:space="preserve">Endpoints de API principais</x:t>
  </x:si>
  <x:si>
    <x:t xml:space="preserve">Lista dos endpoints mais importantes, método e função.</x:t>
  </x:si>
  <x:si>
    <x:t xml:space="preserve">Ex: POST /api/publish — dispara publicação; GET /health — status do sistema.</x:t>
  </x:si>
  <x:si>
    <x:t xml:space="preserve">4.3</x:t>
  </x:si>
  <x:si>
    <x:t xml:space="preserve">Agentes/Tools MCP integrados</x:t>
  </x:si>
  <x:si>
    <x:t xml:space="preserve">Nome de cada agente/tool, servidor MCP e escopo de permissão.</x:t>
  </x:si>
  <x:si>
    <x:t xml:space="preserve">Ex: 11 tools EXECUTA + 10 tools Vault, servidor executar-ai canônico.</x:t>
  </x:si>
  <x:si>
    <x:t xml:space="preserve">4.4</x:t>
  </x:si>
  <x:si>
    <x:t xml:space="preserve">Dependências núcleo (obrigatórias)</x:t>
  </x:si>
  <x:si>
    <x:t xml:space="preserve">Pacotes/serviços sem os quais o build falha.</x:t>
  </x:si>
  <x:si>
    <x:t xml:space="preserve">Ex: 6 variáveis de ambiente núcleo exigidas no build.</x:t>
  </x:si>
  <x:si>
    <x:t xml:space="preserve">4.5</x:t>
  </x:si>
  <x:si>
    <x:t xml:space="preserve">Dependências condicionais</x:t>
  </x:si>
  <x:si>
    <x:t xml:space="preserve">Pacotes/serviços ativados apenas sob feature flag.</x:t>
  </x:si>
  <x:si>
    <x:t xml:space="preserve">Ex: Tokens Editorial E2 exigidos apenas quando EDITORIAL_E2_ENABLED=true.</x:t>
  </x:si>
  <x:si>
    <x:t xml:space="preserve">4.6</x:t>
  </x:si>
  <x:si>
    <x:t xml:space="preserve">Política de atualização de dependências</x:t>
  </x:si>
  <x:si>
    <x:t xml:space="preserve">Como e quando dependências são atualizadas (ex: Dependabot).</x:t>
  </x:si>
  <x:si>
    <x:t xml:space="preserve">Ex: PRs de risco baixo mesclados imediatamente; risco alto isolado, um de cada vez, com suíte de testes rodando.</x:t>
  </x:si>
  <x:si>
    <x:t xml:space="preserve">4.7</x:t>
  </x:si>
  <x:si>
    <x:t xml:space="preserve">Componente frontend principal</x:t>
  </x:si>
  <x:si>
    <x:t xml:space="preserve">A tela/fluxo mais crítico do produto.</x:t>
  </x:si>
  <x:si>
    <x:t xml:space="preserve">Ex: Editor de Journal em /app/journal — criar, publicar, despublicar posts.</x:t>
  </x:si>
  <x:si>
    <x:t xml:space="preserve">4.8</x:t>
  </x:si>
  <x:si>
    <x:t xml:space="preserve">Testes automatizados</x:t>
  </x:si>
  <x:si>
    <x:t xml:space="preserve">O que é coberto por CI (lint, typecheck, test, build).</x:t>
  </x:si>
  <x:si>
    <x:t xml:space="preserve">Ex: 204 testes (api) + 14 testes (web), rodando em todo PR.</x:t>
  </x:si>
  <x:si>
    <x:t xml:space="preserve">DOMÍNIO 5 — OPERAÇÃO (DEPLOY &amp; ROLLBACK)</x:t>
  </x:si>
  <x:si>
    <x:t xml:space="preserve">O que garante que o lançamento não quebra silenciosamente</x:t>
  </x:si>
  <x:si>
    <x:t xml:space="preserve">5.1</x:t>
  </x:si>
  <x:si>
    <x:t xml:space="preserve">Checklist pré-deploy</x:t>
  </x:si>
  <x:si>
    <x:t xml:space="preserve">O que precisa estar verde antes de subir para produção.</x:t>
  </x:si>
  <x:si>
    <x:t xml:space="preserve">Ex: Testes passando em CI, migrations testadas, segredos configurados.</x:t>
  </x:si>
  <x:si>
    <x:t xml:space="preserve">5.2</x:t>
  </x:si>
  <x:si>
    <x:t xml:space="preserve">Checks de saúde pós-deploy</x:t>
  </x:si>
  <x:si>
    <x:t xml:space="preserve">Endpoints/sinais verificados logo após o deploy.</x:t>
  </x:si>
  <x:si>
    <x:t xml:space="preserve">Ex: GET /health retorna status ok; rotas principais respondem 200.</x:t>
  </x:si>
  <x:si>
    <x:t xml:space="preserve">5.3</x:t>
  </x:si>
  <x:si>
    <x:t xml:space="preserve">Gatilho de rollback — taxa de erro</x:t>
  </x:si>
  <x:si>
    <x:t xml:space="preserve">Limiar objetivo de erro que dispara rollback.</x:t>
  </x:si>
  <x:si>
    <x:t xml:space="preserve">Ex: Taxa de erro acima de 5% em 15 minutos.</x:t>
  </x:si>
  <x:si>
    <x:t xml:space="preserve">5.4</x:t>
  </x:si>
  <x:si>
    <x:t xml:space="preserve">Gatilho de rollback — latência</x:t>
  </x:si>
  <x:si>
    <x:t xml:space="preserve">Limiar objetivo de latência que dispara rollback.</x:t>
  </x:si>
  <x:si>
    <x:t xml:space="preserve">Ex: Latência P50 acima de 800ms sustentada.</x:t>
  </x:si>
  <x:si>
    <x:t xml:space="preserve">5.5</x:t>
  </x:si>
  <x:si>
    <x:t xml:space="preserve">Gatilho de rollback — fluxo crítico</x:t>
  </x:si>
  <x:si>
    <x:t xml:space="preserve">Qual fluxo, se falhar, exige rollback imediato.</x:t>
  </x:si>
  <x:si>
    <x:t xml:space="preserve">Ex: Fluxo de publicação (briefing → PR → preview → produção).</x:t>
  </x:si>
  <x:si>
    <x:t xml:space="preserve">5.6</x:t>
  </x:si>
  <x:si>
    <x:t xml:space="preserve">Procedimento de rollback</x:t>
  </x:si>
  <x:si>
    <x:t xml:space="preserve">Passo a passo de como reverter um deploy problemático.</x:t>
  </x:si>
  <x:si>
    <x:t xml:space="preserve">Ex: Reverter para o último deploy estável via painel Vercel + confirmar /health.</x:t>
  </x:si>
  <x:si>
    <x:t xml:space="preserve">DOMÍNIO 6 — GOVERNANÇA &amp; SEGURANÇA</x:t>
  </x:si>
  <x:si>
    <x:t xml:space="preserve">Quem pode fazer o quê, onde segredos vivem, e como decisões de política são tomadas</x:t>
  </x:si>
  <x:si>
    <x:t xml:space="preserve">6.1</x:t>
  </x:si>
  <x:si>
    <x:t xml:space="preserve">Estratégia de branch</x:t>
  </x:si>
  <x:si>
    <x:t xml:space="preserve">Trabalho direto em main vs. PR obrigatório — e quando cada um se aplica.</x:t>
  </x:si>
  <x:si>
    <x:t xml:space="preserve">Ex: PR obrigatório para mudanças de produto; correções de config podem ir direto com aprovação.</x:t>
  </x:si>
  <x:si>
    <x:t xml:space="preserve">6.2</x:t>
  </x:si>
  <x:si>
    <x:t xml:space="preserve">Gate humano obrigatório</x:t>
  </x:si>
  <x:si>
    <x:t xml:space="preserve">Em quais mudanças um humano precisa aprovar antes do merge/deploy.</x:t>
  </x:si>
  <x:si>
    <x:t xml:space="preserve">Ex: Toda mudança de schema de banco exige aprovação humana explícita.</x:t>
  </x:si>
  <x:si>
    <x:t xml:space="preserve">6.3</x:t>
  </x:si>
  <x:si>
    <x:t xml:space="preserve">Armazenamento de segredos</x:t>
  </x:si>
  <x:si>
    <x:t xml:space="preserve">Onde credenciais vivem — nunca em código versionado.</x:t>
  </x:si>
  <x:si>
    <x:t xml:space="preserve">Ex: Variáveis de ambiente na Vercel, nunca em .env commitado.</x:t>
  </x:si>
  <x:si>
    <x:t xml:space="preserve">6.4</x:t>
  </x:si>
  <x:si>
    <x:t xml:space="preserve">Rotação de credenciais</x:t>
  </x:si>
  <x:si>
    <x:t xml:space="preserve">Frequência e gatilho para trocar chaves/segredos.</x:t>
  </x:si>
  <x:si>
    <x:t xml:space="preserve">Ex: Rotação imediata se uma chave for exposta; revisão trimestral por padrão.</x:t>
  </x:si>
  <x:si>
    <x:t xml:space="preserve">6.5</x:t>
  </x:si>
  <x:si>
    <x:t xml:space="preserve">Riscos de segurança conhecidos</x:t>
  </x:si>
  <x:si>
    <x:t xml:space="preserve">Vulnerabilidades ou fallbacks inseguros já identificados.</x:t>
  </x:si>
  <x:si>
    <x:t xml:space="preserve">Ex: Fallback público/OWNER identificado em auditoria — remediação em andamento.</x:t>
  </x:si>
  <x:si>
    <x:t xml:space="preserve">6.6</x:t>
  </x:si>
  <x:si>
    <x:t xml:space="preserve">Escopo de autonomia do agente de AI</x:t>
  </x:si>
  <x:si>
    <x:t xml:space="preserve">O que um agente (Claude Code etc.) pode fazer sem aprovação humana.</x:t>
  </x:si>
  <x:si>
    <x:t xml:space="preserve">Ex: Pode abrir PR draft; não pode mesclar em main sem revisão humana.</x:t>
  </x:si>
  <x:si>
    <x:t xml:space="preserve">DOMÍNIO 7 — DOCUMENTAÇÃO FUNDACIONAL</x:t>
  </x:si>
  <x:si>
    <x:t xml:space="preserve">O que permite que qualquer pessoa ou agente entre no projeto sem reconstruir contexto</x:t>
  </x:si>
  <x:si>
    <x:t xml:space="preserve">7.1</x:t>
  </x:si>
  <x:si>
    <x:t xml:space="preserve">README existe?</x:t>
  </x:si>
  <x:si>
    <x:t xml:space="preserve">Status do README principal do repositório.</x:t>
  </x:si>
  <x:si>
    <x:t xml:space="preserve">Ex: Pendente — precisa cobrir problema, público, arquitetura, resultados em até 3 min de leitura.</x:t>
  </x:si>
  <x:si>
    <x:t xml:space="preserve">7.2</x:t>
  </x:si>
  <x:si>
    <x:t xml:space="preserve">ADRs documentados</x:t>
  </x:si>
  <x:si>
    <x:t xml:space="preserve">Quantas decisões de arquitetura estão formalizadas como ADR.</x:t>
  </x:si>
  <x:si>
    <x:t xml:space="preserve">Ex: 0 formalizados; 2 decisões implícitas identificadas, pendentes de registro.</x:t>
  </x:si>
  <x:si>
    <x:t xml:space="preserve">7.3</x:t>
  </x:si>
  <x:si>
    <x:t xml:space="preserve">Documentação de API</x:t>
  </x:si>
  <x:si>
    <x:t xml:space="preserve">Status da referência de endpoints.</x:t>
  </x:si>
  <x:si>
    <x:t xml:space="preserve">Ex: Pendente — endpoints existem no código mas sem doc formal.</x:t>
  </x:si>
  <x:si>
    <x:t xml:space="preserve">7.4</x:t>
  </x:si>
  <x:si>
    <x:t xml:space="preserve">Guia de onboarding</x:t>
  </x:si>
  <x:si>
    <x:t xml:space="preserve">Existe um guia para alguém novo configurar o ambiente?</x:t>
  </x:si>
  <x:si>
    <x:t xml:space="preserve">Ex: Não existe ainda; setup depende de conhecimento tácito.</x:t>
  </x:si>
  <x:si>
    <x:t xml:space="preserve">7.5</x:t>
  </x:si>
  <x:si>
    <x:t xml:space="preserve">Catálogo de skills/ferramentas</x:t>
  </x:si>
  <x:si>
    <x:t xml:space="preserve">Se o projeto usa um conjunto de skills/agentes, estão documentados?</x:t>
  </x:si>
  <x:si>
    <x:t xml:space="preserve">Ex: 13 skills usadas no projeto, catálogo navegável pendente de publicação.</x:t>
  </x:si>
  <x:si>
    <x:t xml:space="preserve">DOMÍNIO 8 — GESTÃO DE PROJETOS &amp; PMBOK</x:t>
  </x:si>
  <x:si>
    <x:t xml:space="preserve">Iniciação e governança do projeto — valor, sponsor e decisão Go/No-Go</x:t>
  </x:si>
  <x:si>
    <x:t xml:space="preserve">8.1</x:t>
  </x:si>
  <x:si>
    <x:t xml:space="preserve">Problema/oportunidade que justifica o projeto</x:t>
  </x:si>
  <x:si>
    <x:t xml:space="preserve">Descreva em 1 frase por que este projeto deve existir, conforme o Project Charter.</x:t>
  </x:si>
  <x:si>
    <x:t xml:space="preserve">Ex: Consolidar toda a gestão do projeto em uma única fonte de verdade, eliminando divergência entre documentos.</x:t>
  </x:si>
  <x:si>
    <x:t xml:space="preserve">8.2</x:t>
  </x:si>
  <x:si>
    <x:t xml:space="preserve">Sponsor / Patrocinador</x:t>
  </x:si>
  <x:si>
    <x:t xml:space="preserve">Nome de quem tem autoridade para aprovar o projeto formalmente.</x:t>
  </x:si>
  <x:si>
    <x:t xml:space="preserve">Ex: A definir — nenhum sponsor formal designado ainda.</x:t>
  </x:si>
  <x:si>
    <x:t xml:space="preserve">8.3</x:t>
  </x:si>
  <x:si>
    <x:t xml:space="preserve">Critério de sucesso principal</x:t>
  </x:si>
  <x:si>
    <x:t xml:space="preserve">Indicador objetivo que mostrará que o projeto deu certo, com meta e prazo.</x:t>
  </x:si>
  <x:si>
    <x:t xml:space="preserve">Ex: 100% dos domínios do formulário preenchidos até 2026-09-30.</x:t>
  </x:si>
  <x:si>
    <x:t xml:space="preserve">8.4</x:t>
  </x:si>
  <x:si>
    <x:t xml:space="preserve">Decisão Go/No-Go</x:t>
  </x:si>
  <x:si>
    <x:t xml:space="preserve">Status atual da autorização formal do projeto: Proposto, Em avaliação, Autorizado, Suspenso ou Cancelado.</x:t>
  </x:si>
  <x:si>
    <x:t xml:space="preserve">Ex: Em avaliação — aguardando confirmação do sponsor.</x:t>
  </x:si>
  <x:si>
    <x:t xml:space="preserve">8.5</x:t>
  </x:si>
  <x:si>
    <x:t xml:space="preserve">Abordagem do projeto</x:t>
  </x:si>
  <x:si>
    <x:t xml:space="preserve">Preditiva, Adaptativa/Ágil ou Híbrida, e por quê.</x:t>
  </x:si>
  <x:si>
    <x:t xml:space="preserve">Ex: Híbrida — planejamento macro fixo, execução semanal iterativa.</x:t>
  </x:si>
  <x:si>
    <x:t xml:space="preserve">DOMÍNIO 9 — PLANEJAMENTO ESTRATÉGICO, TÁTICO E OPERACIONAL</x:t>
  </x:si>
  <x:si>
    <x:t xml:space="preserve">Os três horizontes de decisão — onde queremos chegar, como, e o que fazer esta semana</x:t>
  </x:si>
  <x:si>
    <x:t xml:space="preserve">9.1</x:t>
  </x:si>
  <x:si>
    <x:t xml:space="preserve">Objetivo estratégico (12+ meses)</x:t>
  </x:si>
  <x:si>
    <x:t xml:space="preserve">Descreva a direção de longo prazo do projeto.</x:t>
  </x:si>
  <x:si>
    <x:t xml:space="preserve">Ex: Tornar-se a fonte única de operação do ecossistema Executar.</x:t>
  </x:si>
  <x:si>
    <x:t xml:space="preserve">9.2</x:t>
  </x:si>
  <x:si>
    <x:t xml:space="preserve">Objetivo tático (trimestre/ciclo)</x:t>
  </x:si>
  <x:si>
    <x:t xml:space="preserve">O que precisa ser verdade daqui a 3 meses para o estratégico avançar.</x:t>
  </x:si>
  <x:si>
    <x:t xml:space="preserve">Ex: Central de Controle com todos os domínios preenchidos e em uso ativo.</x:t>
  </x:si>
  <x:si>
    <x:t xml:space="preserve">9.3</x:t>
  </x:si>
  <x:si>
    <x:t xml:space="preserve">Prioridade operacional da semana</x:t>
  </x:si>
  <x:si>
    <x:t xml:space="preserve">O que precisa avançar nos próximos 7 dias.</x:t>
  </x:si>
  <x:si>
    <x:t xml:space="preserve">Ex: Confirmar owner e resolver as sobreposições de domínio pendentes.</x:t>
  </x:si>
  <x:si>
    <x:t xml:space="preserve">9.4</x:t>
  </x:si>
  <x:si>
    <x:t xml:space="preserve">Dependência entre horizontes</x:t>
  </x:si>
  <x:si>
    <x:t xml:space="preserve">O que no nível tático bloqueia ou depende do estratégico.</x:t>
  </x:si>
  <x:si>
    <x:t xml:space="preserve">Ex: O objetivo tático de preenchimento completo depende de um owner estratégico confirmado.</x:t>
  </x:si>
  <x:si>
    <x:t xml:space="preserve">DOMÍNIO 10 — ROADMAP, CRONOGRAMA, CICLOS E BACKLOG</x:t>
  </x:si>
  <x:si>
    <x:t xml:space="preserve">Marcos de médio prazo e o ritmo semanal de execução</x:t>
  </x:si>
  <x:si>
    <x:t xml:space="preserve">10.1</x:t>
  </x:si>
  <x:si>
    <x:t xml:space="preserve">Marco de médio prazo #1</x:t>
  </x:si>
  <x:si>
    <x:t xml:space="preserve">Próximo grande marco do projeto e data-alvo.</x:t>
  </x:si>
  <x:si>
    <x:t xml:space="preserve">Ex: Central de Controle validada e em uso — 2026-09-15.</x:t>
  </x:si>
  <x:si>
    <x:t xml:space="preserve">10.2</x:t>
  </x:si>
  <x:si>
    <x:t xml:space="preserve">Ciclo semanal atual</x:t>
  </x:si>
  <x:si>
    <x:t xml:space="preserve">Em qual fase do ciclo o projeto está agora: Editorial, Desenvolvimento ou Governança.</x:t>
  </x:si>
  <x:si>
    <x:t xml:space="preserve">Ex: Governança — revisão de domingo.</x:t>
  </x:si>
  <x:si>
    <x:t xml:space="preserve">10.3</x:t>
  </x:si>
  <x:si>
    <x:t xml:space="preserve">Item de backlog crítico</x:t>
  </x:si>
  <x:si>
    <x:t xml:space="preserve">Tarefa pendente que bloqueia o próximo marco.</x:t>
  </x:si>
  <x:si>
    <x:t xml:space="preserve">Ex: Sincronizar backlog do Linear com a aba de execução.</x:t>
  </x:si>
  <x:si>
    <x:t xml:space="preserve">10.4</x:t>
  </x:si>
  <x:si>
    <x:t xml:space="preserve">Cadência de revisão</x:t>
  </x:si>
  <x:si>
    <x:t xml:space="preserve">Com que frequência o roadmap é revisado e por quem.</x:t>
  </x:si>
  <x:si>
    <x:t xml:space="preserve">Ex: Toda segunda-feira, pelo owner do projeto.</x:t>
  </x:si>
  <x:si>
    <x:t xml:space="preserve">DOMÍNIO 11 — EDITORIAL, CAMPANHAS E CONTEÚDO</x:t>
  </x:si>
  <x:si>
    <x:t xml:space="preserve">Conteúdo, calendário editorial, campanhas e trilhas de comunicação</x:t>
  </x:si>
  <x:si>
    <x:t xml:space="preserve">11.1</x:t>
  </x:si>
  <x:si>
    <x:t xml:space="preserve">Linha editorial</x:t>
  </x:si>
  <x:si>
    <x:t xml:space="preserve">Tema ou pilar de conteúdo predominante do período.</x:t>
  </x:si>
  <x:si>
    <x:t xml:space="preserve">Ex: Bastidores da construção do sistema Executar.</x:t>
  </x:si>
  <x:si>
    <x:t xml:space="preserve">11.2</x:t>
  </x:si>
  <x:si>
    <x:t xml:space="preserve">Calendário de publicação</x:t>
  </x:si>
  <x:si>
    <x:t xml:space="preserve">Frequência e canais de publicação de conteúdo.</x:t>
  </x:si>
  <x:si>
    <x:t xml:space="preserve">Ex: 2x por semana, LinkedIn e newsletter.</x:t>
  </x:si>
  <x:si>
    <x:t xml:space="preserve">11.3</x:t>
  </x:si>
  <x:si>
    <x:t xml:space="preserve">Campanha ativa</x:t>
  </x:si>
  <x:si>
    <x:t xml:space="preserve">Nome e objetivo da campanha em andamento, se houver.</x:t>
  </x:si>
  <x:si>
    <x:t xml:space="preserve">Ex: Nenhuma campanha ativa no momento.</x:t>
  </x:si>
  <x:si>
    <x:t xml:space="preserve">11.4</x:t>
  </x:si>
  <x:si>
    <x:t xml:space="preserve">Trilha de conteúdo</x:t>
  </x:si>
  <x:si>
    <x:t xml:space="preserve">Sequência de peças que levam o público de um ponto a outro.</x:t>
  </x:si>
  <x:si>
    <x:t xml:space="preserve">Ex: Post de bastidor → thread técnica → case de uso.</x:t>
  </x:si>
  <x:si>
    <x:t xml:space="preserve">DOMÍNIO 12 — STAKEHOLDERS</x:t>
  </x:si>
  <x:si>
    <x:t xml:space="preserve">Quem afeta ou é afetado pelo projeto, e como engajar cada um</x:t>
  </x:si>
  <x:si>
    <x:t xml:space="preserve">12.1</x:t>
  </x:si>
  <x:si>
    <x:t xml:space="preserve">Stakeholder principal</x:t>
  </x:si>
  <x:si>
    <x:t xml:space="preserve">Nome/grupo, papel, nível de interesse e influência.</x:t>
  </x:si>
  <x:si>
    <x:t xml:space="preserve">Ex: Owner do projeto — interesse alto, influência alta.</x:t>
  </x:si>
  <x:si>
    <x:t xml:space="preserve">12.2</x:t>
  </x:si>
  <x:si>
    <x:t xml:space="preserve">Forma de comunicação</x:t>
  </x:si>
  <x:si>
    <x:t xml:space="preserve">Como e com que frequência este stakeholder é atualizado.</x:t>
  </x:si>
  <x:si>
    <x:t xml:space="preserve">Ex: Resumo semanal aos domingos, no ciclo de governança.</x:t>
  </x:si>
  <x:si>
    <x:t xml:space="preserve">12.3</x:t>
  </x:si>
  <x:si>
    <x:t xml:space="preserve">Expectativa não alinhada</x:t>
  </x:si>
  <x:si>
    <x:t xml:space="preserve">Ponto de expectativa que ainda precisa de alinhamento explícito.</x:t>
  </x:si>
  <x:si>
    <x:t xml:space="preserve">Ex: Nenhuma pendência identificada.</x:t>
  </x:si>
  <x:si>
    <x:t xml:space="preserve">DOMÍNIO 13 — RUNBOOKS, SOPS E ROTINAS</x:t>
  </x:si>
  <x:si>
    <x:t xml:space="preserve">Procedimentos padronizados e repetíveis do dia a dia operacional</x:t>
  </x:si>
  <x:si>
    <x:t xml:space="preserve">13.1</x:t>
  </x:si>
  <x:si>
    <x:t xml:space="preserve">Runbook crítico #1</x:t>
  </x:si>
  <x:si>
    <x:t xml:space="preserve">Nome do procedimento e quando ele é acionado.</x:t>
  </x:si>
  <x:si>
    <x:t xml:space="preserve">Ex: Fechamento de ciclo — rodado toda quarta e sábado.</x:t>
  </x:si>
  <x:si>
    <x:t xml:space="preserve">13.2</x:t>
  </x:si>
  <x:si>
    <x:t xml:space="preserve">Responsável pela rotina</x:t>
  </x:si>
  <x:si>
    <x:t xml:space="preserve">Quem executa este runbook hoje.</x:t>
  </x:si>
  <x:si>
    <x:t xml:space="preserve">Ex: Owner do projeto, manualmente.</x:t>
  </x:si>
  <x:si>
    <x:t xml:space="preserve">13.3</x:t>
  </x:si>
  <x:si>
    <x:t xml:space="preserve">SOP documentado?</x:t>
  </x:si>
  <x:si>
    <x:t xml:space="preserve">Existe um documento formal deste procedimento? Onde vive.</x:t>
  </x:si>
  <x:si>
    <x:t xml:space="preserve">Ex: Não determinado.</x:t>
  </x:si>
  <x:si>
    <x:t xml:space="preserve">DOMÍNIO 14 — PESQUISA, DADOS E CONHECIMENTO</x:t>
  </x:si>
  <x:si>
    <x:t xml:space="preserve">Base de conhecimento, evidências, pesquisa e o papel de agentes de IA no projeto</x:t>
  </x:si>
  <x:si>
    <x:t xml:space="preserve">14.1</x:t>
  </x:si>
  <x:si>
    <x:t xml:space="preserve">Fonte de evidência principal</x:t>
  </x:si>
  <x:si>
    <x:t xml:space="preserve">Onde ficam guardadas as provas objetivas de estado: documentos, commits, tickets.</x:t>
  </x:si>
  <x:si>
    <x:t xml:space="preserve">Ex: Google Drive, pasta Prompt-Enginner, e o próprio XLSX Central.</x:t>
  </x:si>
  <x:si>
    <x:t xml:space="preserve">14.2</x:t>
  </x:si>
  <x:si>
    <x:t xml:space="preserve">Pesquisa/dado pendente</x:t>
  </x:si>
  <x:si>
    <x:t xml:space="preserve">Informação que ainda precisa ser levantada antes de uma decisão.</x:t>
  </x:si>
  <x:si>
    <x:t xml:space="preserve">Ex: Confirmar se existe uma planilha anterior com domínios já preenchidos.</x:t>
  </x:si>
  <x:si>
    <x:t xml:space="preserve">14.3</x:t>
  </x:si>
  <x:si>
    <x:t xml:space="preserve">Papel de agentes de IA no projeto</x:t>
  </x:si>
  <x:si>
    <x:t xml:space="preserve">Que tarefas um agente de IA está autorizado a executar sozinho vs. só propor.</x:t>
  </x:si>
  <x:si>
    <x:t xml:space="preserve">Ex: Agente propõe preenchimento; humano aprova antes de mudar status.</x:t>
  </x:si>
  <x:si>
    <x:t xml:space="preserve">DOMÍNIO 15 — SKILLS, PLUGINS E FERRAMENTAS</x:t>
  </x:si>
  <x:si>
    <x:t xml:space="preserve">Inventário de skills, plugins e ferramentas usados para operar o projeto</x:t>
  </x:si>
  <x:si>
    <x:t xml:space="preserve">15.1</x:t>
  </x:si>
  <x:si>
    <x:t xml:space="preserve">Skill/plugin principal em uso</x:t>
  </x:si>
  <x:si>
    <x:t xml:space="preserve">Nome da skill/plugin e para que ela serve neste projeto.</x:t>
  </x:si>
  <x:si>
    <x:t xml:space="preserve">Ex: executar-xls — gera este próprio workbook.</x:t>
  </x:si>
  <x:si>
    <x:t xml:space="preserve">15.2</x:t>
  </x:si>
  <x:si>
    <x:t xml:space="preserve">Ferramenta de automação conectada</x:t>
  </x:si>
  <x:si>
    <x:t xml:space="preserve">Sistema externo conectado (Linear, Drive, etc.) e o que ele resolve.</x:t>
  </x:si>
  <x:si>
    <x:t xml:space="preserve">Ex: Google Drive — repositório de documentos e evidências.</x:t>
  </x:si>
  <x:si>
    <x:t xml:space="preserve">15.3</x:t>
  </x:si>
  <x:si>
    <x:t xml:space="preserve">Lacuna de ferramenta</x:t>
  </x:si>
  <x:si>
    <x:t xml:space="preserve">Automação que falta e seria útil.</x:t>
  </x:si>
  <x:si>
    <x:t xml:space="preserve">DOMÍNIO 16 — PLATAFORMAS, CONTAS E IDENTIFICADORES</x:t>
  </x:si>
  <x:si>
    <x:t xml:space="preserve">Atalhos, links, contas, logins e identificadores usados no dia a dia</x:t>
  </x:si>
  <x:si>
    <x:t xml:space="preserve">16.1</x:t>
  </x:si>
  <x:si>
    <x:t xml:space="preserve">Plataforma principal</x:t>
  </x:si>
  <x:si>
    <x:t xml:space="preserve">Nome da plataforma e para que ela é usada no projeto.</x:t>
  </x:si>
  <x:si>
    <x:t xml:space="preserve">Ex: claude.ai — projeto Control Center.</x:t>
  </x:si>
  <x:si>
    <x:t xml:space="preserve">16.2</x:t>
  </x:si>
  <x:si>
    <x:t xml:space="preserve">Link/atalho crítico</x:t>
  </x:si>
  <x:si>
    <x:t xml:space="preserve">URL ou identificador que precisa estar sempre à mão.</x:t>
  </x:si>
  <x:si>
    <x:t xml:space="preserve">16.3</x:t>
  </x:si>
  <x:si>
    <x:t xml:space="preserve">Responsável pela conta</x:t>
  </x:si>
  <x:si>
    <x:t xml:space="preserve">Quem tem acesso administrativo a esta plataforma.</x:t>
  </x:si>
  <x:si>
    <x:t xml:space="preserve">Ex: Owner do projeto.</x:t>
  </x:si>
  <x:si>
    <x:t xml:space="preserve">DOMÍNIO 17 — PROMPT ENGINEERING &amp; COMANDOS</x:t>
  </x:si>
  <x:si>
    <x:t xml:space="preserve">Prompts canônicos e comandos operacionais que governam os agentes de IA deste projeto</x:t>
  </x:si>
  <x:si>
    <x:t xml:space="preserve">17.1</x:t>
  </x:si>
  <x:si>
    <x:t xml:space="preserve">Prompt canônico principal</x:t>
  </x:si>
  <x:si>
    <x:t xml:space="preserve">Nome do prompt-fonte e onde ele vive.</x:t>
  </x:si>
  <x:si>
    <x:t xml:space="preserve">Ex: 02 · Project Control Agent — Google Drive, Prompt-Enginner/02-PROMPTS.</x:t>
  </x:si>
  <x:si>
    <x:t xml:space="preserve">17.2</x:t>
  </x:si>
  <x:si>
    <x:t xml:space="preserve">Comando/gatilho operacional</x:t>
  </x:si>
  <x:si>
    <x:t xml:space="preserve">Palavra ou frase que aciona uma rotina específica do agente.</x:t>
  </x:si>
  <x:si>
    <x:t xml:space="preserve">17.3</x:t>
  </x:si>
  <x:si>
    <x:t xml:space="preserve">Regra anti-alucinação específica</x:t>
  </x:si>
  <x:si>
    <x:t xml:space="preserve">Restrição adicional que os agentes deste projeto devem sempre respeitar.</x:t>
  </x:si>
  <x:si>
    <x:t xml:space="preserve">Ex: Nunca promover Status sem evidência registrada.</x:t>
  </x:si>
  <x:si>
    <x:t xml:space="preserve">Visao Geral</x:t>
  </x:si>
  <x:si>
    <x:t xml:space="preserve">Resumo executivo — Negócio, GTM e Produto</x:t>
  </x:si>
  <x:si>
    <x:t xml:space="preserve">Gerado automaticamente a partir de 01_Formulario — não editar diretamente.</x:t>
  </x:si>
  <x:si>
    <x:t xml:space="preserve">NEGÓCIO &amp; GTM</x:t>
  </x:si>
  <x:si>
    <x:t xml:space="preserve">Domínio 1</x:t>
  </x:si>
  <x:si>
    <x:t xml:space="preserve">1.1  Problema central</x:t>
  </x:si>
  <x:si>
    <x:t xml:space="preserve">1.2  Público-alvo / ICP</x:t>
  </x:si>
  <x:si>
    <x:t xml:space="preserve">1.3  Proposta de valor</x:t>
  </x:si>
  <x:si>
    <x:t xml:space="preserve">1.4  Canais de aquisição</x:t>
  </x:si>
  <x:si>
    <x:t xml:space="preserve">1.5  Métrica North Star</x:t>
  </x:si>
  <x:si>
    <x:t xml:space="preserve">1.6  Métricas guardrail</x:t>
  </x:si>
  <x:si>
    <x:t xml:space="preserve">UNIT ECONOMICS</x:t>
  </x:si>
  <x:si>
    <x:t xml:space="preserve">Domínio 1 (continuação)</x:t>
  </x:si>
  <x:si>
    <x:t xml:space="preserve">1.7  CAC (custo de aquisição)</x:t>
  </x:si>
  <x:si>
    <x:t xml:space="preserve">1.8  LTV (valor do tempo de vida)</x:t>
  </x:si>
  <x:si>
    <x:t xml:space="preserve">1.9  Margem por unidade/usuário</x:t>
  </x:si>
  <x:si>
    <x:t xml:space="preserve">1.10  Ponto de equilíbrio (breakeven)</x:t>
  </x:si>
  <x:si>
    <x:t xml:space="preserve">1.11  Teto de gasto de infraestrutura</x:t>
  </x:si>
  <x:si>
    <x:t xml:space="preserve">1.12  Gatilhos de upgrade de infra</x:t>
  </x:si>
  <x:si>
    <x:t xml:space="preserve">PRODUTO — PRD</x:t>
  </x:si>
  <x:si>
    <x:t xml:space="preserve">Domínio 2</x:t>
  </x:si>
  <x:si>
    <x:t xml:space="preserve">2.1  Nome do produto/feature</x:t>
  </x:si>
  <x:si>
    <x:t xml:space="preserve">2.2  Contexto do PRD</x:t>
  </x:si>
  <x:si>
    <x:t xml:space="preserve">2.3  Objetivos (goals)</x:t>
  </x:si>
  <x:si>
    <x:t xml:space="preserve">2.4  Não-objetivos (non-goals)</x:t>
  </x:si>
  <x:si>
    <x:t xml:space="preserve">2.5  Requisitos funcionais (FRD)</x:t>
  </x:si>
  <x:si>
    <x:t xml:space="preserve">2.6  Critérios de aceite</x:t>
  </x:si>
  <x:si>
    <x:t xml:space="preserve">PRODUTO — JORNADA DO USUÁRIO</x:t>
  </x:si>
  <x:si>
    <x:t xml:space="preserve">Domínio 2 (continuação)</x:t>
  </x:si>
  <x:si>
    <x:t xml:space="preserve">2.7  Persona principal</x:t>
  </x:si>
  <x:si>
    <x:t xml:space="preserve">2.8  Jornada — Descoberta</x:t>
  </x:si>
  <x:si>
    <x:t xml:space="preserve">2.9  Jornada — Ativação</x:t>
  </x:si>
  <x:si>
    <x:t xml:space="preserve">2.10  Jornada — Uso recorrente</x:t>
  </x:si>
  <x:si>
    <x:t xml:space="preserve">2.11  Momento 'aha'</x:t>
  </x:si>
  <x:si>
    <x:t xml:space="preserve">2.12  User story de referência</x:t>
  </x:si>
  <x:si>
    <x:t xml:space="preserve">Arquitetura Tecnica</x:t>
  </x:si>
  <x:si>
    <x:t xml:space="preserve">Full stack, infraestrutura, rotas, backend, frontend, APIs, agentes, dependências</x:t>
  </x:si>
  <x:si>
    <x:t xml:space="preserve">ARQUITETURA &amp; FULL STACK</x:t>
  </x:si>
  <x:si>
    <x:t xml:space="preserve">Domínio 3</x:t>
  </x:si>
  <x:si>
    <x:t xml:space="preserve">3.1  Stack — Frontend</x:t>
  </x:si>
  <x:si>
    <x:t xml:space="preserve">3.2  Stack — Backend</x:t>
  </x:si>
  <x:si>
    <x:t xml:space="preserve">3.3  Banco de dados</x:t>
  </x:si>
  <x:si>
    <x:t xml:space="preserve">3.4  Infraestrutura / hosting</x:t>
  </x:si>
  <x:si>
    <x:t xml:space="preserve">3.5  Autenticação</x:t>
  </x:si>
  <x:si>
    <x:t xml:space="preserve">3.6  Estrutura de repositório</x:t>
  </x:si>
  <x:si>
    <x:t xml:space="preserve">3.7  Mapa de rotas principais</x:t>
  </x:si>
  <x:si>
    <x:t xml:space="preserve">3.8  Decisão de arquitetura #1 (ADR)</x:t>
  </x:si>
  <x:si>
    <x:t xml:space="preserve">3.9  Decisão de arquitetura #2 (ADR)</x:t>
  </x:si>
  <x:si>
    <x:t xml:space="preserve">3.10  Trade-offs aceitos</x:t>
  </x:si>
  <x:si>
    <x:t xml:space="preserve">IMPLEMENTAÇÃO</x:t>
  </x:si>
  <x:si>
    <x:t xml:space="preserve">Domínio 4</x:t>
  </x:si>
  <x:si>
    <x:t xml:space="preserve">4.1  Modelo de dados / schema</x:t>
  </x:si>
  <x:si>
    <x:t xml:space="preserve">4.2  Endpoints de API principais</x:t>
  </x:si>
  <x:si>
    <x:t xml:space="preserve">4.3  Agentes/Tools MCP integrados</x:t>
  </x:si>
  <x:si>
    <x:t xml:space="preserve">4.4  Dependências núcleo (obrigatórias)</x:t>
  </x:si>
  <x:si>
    <x:t xml:space="preserve">4.5  Dependências condicionais</x:t>
  </x:si>
  <x:si>
    <x:t xml:space="preserve">4.6  Política de atualização de dependências</x:t>
  </x:si>
  <x:si>
    <x:t xml:space="preserve">4.7  Componente frontend principal</x:t>
  </x:si>
  <x:si>
    <x:t xml:space="preserve">4.8  Testes automatizados</x:t>
  </x:si>
  <x:si>
    <x:t xml:space="preserve">Operacao Seguranca</x:t>
  </x:si>
  <x:si>
    <x:t xml:space="preserve">Deploy, rollback, governança, segurança e documentação fundacional</x:t>
  </x:si>
  <x:si>
    <x:t xml:space="preserve">OPERAÇÃO — DEPLOY &amp; ROLLBACK</x:t>
  </x:si>
  <x:si>
    <x:t xml:space="preserve">Domínio 5</x:t>
  </x:si>
  <x:si>
    <x:t xml:space="preserve">5.1  Checklist pré-deploy</x:t>
  </x:si>
  <x:si>
    <x:t xml:space="preserve">5.2  Checks de saúde pós-deploy</x:t>
  </x:si>
  <x:si>
    <x:t xml:space="preserve">5.3  Gatilho de rollback — taxa de erro</x:t>
  </x:si>
  <x:si>
    <x:t xml:space="preserve">5.4  Gatilho de rollback — latência</x:t>
  </x:si>
  <x:si>
    <x:t xml:space="preserve">5.5  Gatilho de rollback — fluxo crítico</x:t>
  </x:si>
  <x:si>
    <x:t xml:space="preserve">5.6  Procedimento de rollback</x:t>
  </x:si>
  <x:si>
    <x:t xml:space="preserve">GOVERNANÇA &amp; SEGURANÇA</x:t>
  </x:si>
  <x:si>
    <x:t xml:space="preserve">Domínio 6</x:t>
  </x:si>
  <x:si>
    <x:t xml:space="preserve">6.1  Estratégia de branch</x:t>
  </x:si>
  <x:si>
    <x:t xml:space="preserve">6.2  Gate humano obrigatório</x:t>
  </x:si>
  <x:si>
    <x:t xml:space="preserve">6.3  Armazenamento de segredos</x:t>
  </x:si>
  <x:si>
    <x:t xml:space="preserve">6.4  Rotação de credenciais</x:t>
  </x:si>
  <x:si>
    <x:t xml:space="preserve">6.5  Riscos de segurança conhecidos</x:t>
  </x:si>
  <x:si>
    <x:t xml:space="preserve">6.6  Escopo de autonomia do agente de AI</x:t>
  </x:si>
  <x:si>
    <x:t xml:space="preserve">DOCUMENTAÇÃO FUNDAMENTAL</x:t>
  </x:si>
  <x:si>
    <x:t xml:space="preserve">Domínio 7</x:t>
  </x:si>
  <x:si>
    <x:t xml:space="preserve">7.1  README existe?</x:t>
  </x:si>
  <x:si>
    <x:t xml:space="preserve">7.2  ADRs documentados</x:t>
  </x:si>
  <x:si>
    <x:t xml:space="preserve">7.3  Documentação de API</x:t>
  </x:si>
  <x:si>
    <x:t xml:space="preserve">7.4  Guia de onboarding</x:t>
  </x:si>
  <x:si>
    <x:t xml:space="preserve">7.5  Catálogo de skills/ferramentas</x:t>
  </x:si>
  <x:si>
    <x:t xml:space="preserve">Gestao Projetos</x:t>
  </x:si>
  <x:si>
    <x:t xml:space="preserve">PMBOK — iniciação, e os três horizontes de planejamento</x:t>
  </x:si>
  <x:si>
    <x:t xml:space="preserve">GESTÃO DE PROJETOS &amp; PMBOK</x:t>
  </x:si>
  <x:si>
    <x:t xml:space="preserve">Domínio 8</x:t>
  </x:si>
  <x:si>
    <x:t xml:space="preserve">8.1  Problema/oportunidade que justifica o projeto</x:t>
  </x:si>
  <x:si>
    <x:t xml:space="preserve">8.2  Sponsor / Patrocinador</x:t>
  </x:si>
  <x:si>
    <x:t xml:space="preserve">8.3  Critério de sucesso principal</x:t>
  </x:si>
  <x:si>
    <x:t xml:space="preserve">8.4  Decisão Go/No-Go</x:t>
  </x:si>
  <x:si>
    <x:t xml:space="preserve">8.5  Abordagem do projeto</x:t>
  </x:si>
  <x:si>
    <x:t xml:space="preserve">PLANEJAMENTO ESTRATÉGICO, TÁTICO E OPERACIONAL</x:t>
  </x:si>
  <x:si>
    <x:t xml:space="preserve">Domínio 9</x:t>
  </x:si>
  <x:si>
    <x:t xml:space="preserve">9.1  Objetivo estratégico (12+ meses)</x:t>
  </x:si>
  <x:si>
    <x:t xml:space="preserve">9.2  Objetivo tático (trimestre/ciclo)</x:t>
  </x:si>
  <x:si>
    <x:t xml:space="preserve">9.3  Prioridade operacional da semana</x:t>
  </x:si>
  <x:si>
    <x:t xml:space="preserve">9.4  Dependência entre horizontes</x:t>
  </x:si>
  <x:si>
    <x:t xml:space="preserve">Roadmap Editorial</x:t>
  </x:si>
  <x:si>
    <x:t xml:space="preserve">Marcos, ciclos, backlog e a frente editorial</x:t>
  </x:si>
  <x:si>
    <x:t xml:space="preserve">ROADMAP, CRONOGRAMA, CICLOS E BACKLOG</x:t>
  </x:si>
  <x:si>
    <x:t xml:space="preserve">Domínio 10</x:t>
  </x:si>
  <x:si>
    <x:t xml:space="preserve">10.1  Marco de médio prazo #1</x:t>
  </x:si>
  <x:si>
    <x:t xml:space="preserve">10.2  Ciclo semanal atual</x:t>
  </x:si>
  <x:si>
    <x:t xml:space="preserve">10.3  Item de backlog crítico</x:t>
  </x:si>
  <x:si>
    <x:t xml:space="preserve">10.4  Cadência de revisão</x:t>
  </x:si>
  <x:si>
    <x:t xml:space="preserve">EDITORIAL, CAMPANHAS E CONTEÚDO</x:t>
  </x:si>
  <x:si>
    <x:t xml:space="preserve">Domínio 11</x:t>
  </x:si>
  <x:si>
    <x:t xml:space="preserve">11.1  Linha editorial</x:t>
  </x:si>
  <x:si>
    <x:t xml:space="preserve">11.2  Calendário de publicação</x:t>
  </x:si>
  <x:si>
    <x:t xml:space="preserve">11.3  Campanha ativa</x:t>
  </x:si>
  <x:si>
    <x:t xml:space="preserve">11.4  Trilha de conteúdo</x:t>
  </x:si>
  <x:si>
    <x:t xml:space="preserve">Conhecimento Stakeholders</x:t>
  </x:si>
  <x:si>
    <x:t xml:space="preserve">Stakeholders, rotinas operacionais e base de conhecimento</x:t>
  </x:si>
  <x:si>
    <x:t xml:space="preserve">STAKEHOLDERS</x:t>
  </x:si>
  <x:si>
    <x:t xml:space="preserve">Domínio 12</x:t>
  </x:si>
  <x:si>
    <x:t xml:space="preserve">12.1  Stakeholder principal</x:t>
  </x:si>
  <x:si>
    <x:t xml:space="preserve">12.2  Forma de comunicação</x:t>
  </x:si>
  <x:si>
    <x:t xml:space="preserve">12.3  Expectativa não alinhada</x:t>
  </x:si>
  <x:si>
    <x:t xml:space="preserve">RUNBOOKS, SOPS E ROTINAS</x:t>
  </x:si>
  <x:si>
    <x:t xml:space="preserve">Domínio 13</x:t>
  </x:si>
  <x:si>
    <x:t xml:space="preserve">13.1  Runbook crítico #1</x:t>
  </x:si>
  <x:si>
    <x:t xml:space="preserve">13.2  Responsável pela rotina</x:t>
  </x:si>
  <x:si>
    <x:t xml:space="preserve">13.3  SOP documentado?</x:t>
  </x:si>
  <x:si>
    <x:t xml:space="preserve">PESQUISA, DADOS E CONHECIMENTO</x:t>
  </x:si>
  <x:si>
    <x:t xml:space="preserve">Domínio 14</x:t>
  </x:si>
  <x:si>
    <x:t xml:space="preserve">14.1  Fonte de evidência principal</x:t>
  </x:si>
  <x:si>
    <x:t xml:space="preserve">14.2  Pesquisa/dado pendente</x:t>
  </x:si>
  <x:si>
    <x:t xml:space="preserve">14.3  Papel de agentes de IA no projeto</x:t>
  </x:si>
  <x:si>
    <x:t xml:space="preserve">Skills Plataformas</x:t>
  </x:si>
  <x:si>
    <x:t xml:space="preserve">Ferramentas, plataformas e os prompts que governam os agentes de IA</x:t>
  </x:si>
  <x:si>
    <x:t xml:space="preserve">SKILLS, PLUGINS E FERRAMENTAS</x:t>
  </x:si>
  <x:si>
    <x:t xml:space="preserve">Domínio 15</x:t>
  </x:si>
  <x:si>
    <x:t xml:space="preserve">15.1  Skill/plugin principal em uso</x:t>
  </x:si>
  <x:si>
    <x:t xml:space="preserve">15.2  Ferramenta de automação conectada</x:t>
  </x:si>
  <x:si>
    <x:t xml:space="preserve">15.3  Lacuna de ferramenta</x:t>
  </x:si>
  <x:si>
    <x:t xml:space="preserve">PLATAFORMAS, CONTAS E IDENTIFICADORES</x:t>
  </x:si>
  <x:si>
    <x:t xml:space="preserve">Domínio 16</x:t>
  </x:si>
  <x:si>
    <x:t xml:space="preserve">16.1  Plataforma principal</x:t>
  </x:si>
  <x:si>
    <x:t xml:space="preserve">16.2  Link/atalho crítico</x:t>
  </x:si>
  <x:si>
    <x:t xml:space="preserve">16.3  Responsável pela conta</x:t>
  </x:si>
  <x:si>
    <x:t xml:space="preserve">PROMPT ENGINEERING &amp; COMANDOS</x:t>
  </x:si>
  <x:si>
    <x:t xml:space="preserve">Domínio 17</x:t>
  </x:si>
  <x:si>
    <x:t xml:space="preserve">17.1  Prompt canônico principal</x:t>
  </x:si>
  <x:si>
    <x:t xml:space="preserve">17.2  Comando/gatilho operacional</x:t>
  </x:si>
  <x:si>
    <x:t xml:space="preserve">17.3  Regra anti-alucinação específica</x:t>
  </x:si>
  <x:si>
    <x:t xml:space="preserve">Índice de IDs — Mapa Reverso</x:t>
  </x:si>
  <x:si>
    <x:t xml:space="preserve">Todo ID do formulário, seu domínio, e em qual aba de saída ele é consumido.</x:t>
  </x:si>
  <x:si>
    <x:t xml:space="preserve">Domínio</x:t>
  </x:si>
  <x:si>
    <x:t xml:space="preserve">Aparece em</x:t>
  </x:si>
  <x:si>
    <x:t xml:space="preserve">1. NEGÓCIO &amp; GTM</x:t>
  </x:si>
  <x:si>
    <x:t xml:space="preserve">02_Visao_Geral</x:t>
  </x:si>
  <x:si>
    <x:t xml:space="preserve">2. PRODUTO</x:t>
  </x:si>
  <x:si>
    <x:t xml:space="preserve">3. ARQUITETURA &amp; FULL STACK</x:t>
  </x:si>
  <x:si>
    <x:t xml:space="preserve">03_Arquitetura_Tecnica</x:t>
  </x:si>
  <x:si>
    <x:t xml:space="preserve">4. IMPLEMENTAÇÃO</x:t>
  </x:si>
  <x:si>
    <x:t xml:space="preserve">5. OPERAÇÃO (DEPLOY &amp; ROLLBACK)</x:t>
  </x:si>
  <x:si>
    <x:t xml:space="preserve">04_Operacao_Seguranca</x:t>
  </x:si>
  <x:si>
    <x:t xml:space="preserve">6. GOVERNANÇA &amp; SEGURANÇA</x:t>
  </x:si>
  <x:si>
    <x:t xml:space="preserve">7. DOCUMENTAÇÃO FUNDACIONAL</x:t>
  </x:si>
  <x:si>
    <x:t xml:space="preserve">8. Gestão de Projetos &amp; PMBOK</x:t>
  </x:si>
  <x:si>
    <x:t xml:space="preserve">05_Gestao_Projetos</x:t>
  </x:si>
  <x:si>
    <x:t xml:space="preserve">9. Planejamento Estratégico, Tático e Operacional</x:t>
  </x:si>
  <x:si>
    <x:t xml:space="preserve">10. Roadmap, Cronograma, Ciclos e Backlog</x:t>
  </x:si>
  <x:si>
    <x:t xml:space="preserve">06_Roadmap_Editorial</x:t>
  </x:si>
  <x:si>
    <x:t xml:space="preserve">11. Editorial, Campanhas e Conteúdo</x:t>
  </x:si>
  <x:si>
    <x:t xml:space="preserve">12. Stakeholders</x:t>
  </x:si>
  <x:si>
    <x:t xml:space="preserve">07_Conhecimento_Stakeholders</x:t>
  </x:si>
  <x:si>
    <x:t xml:space="preserve">13. Runbooks, SOPs e Rotinas</x:t>
  </x:si>
  <x:si>
    <x:t xml:space="preserve">14. Pesquisa, Dados e Conhecimento</x:t>
  </x:si>
  <x:si>
    <x:t xml:space="preserve">15. Skills, Plugins e Ferramentas</x:t>
  </x:si>
  <x:si>
    <x:t xml:space="preserve">08_Skills_Plataformas</x:t>
  </x:si>
  <x:si>
    <x:t xml:space="preserve">16. Plataformas, Contas e Identificadores</x:t>
  </x:si>
  <x:si>
    <x:t xml:space="preserve">17. Prompt Engineering &amp; Comandos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</x:si>
</x:sst>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200" formatCode="dd/mm/yyyy"/>
    <x:numFmt numFmtId="201" formatCode="0%"/>
  </x:numFmts>
  <x:fonts count="22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20"/>
      <x:color rgb="FF1D1D1F"/>
      <x:name val="Arial"/>
    </x:font>
    <x:font>
      <x:i/>
      <x:sz val="11"/>
      <x:color rgb="FF6E6E73"/>
      <x:name val="Arial"/>
    </x:font>
    <x:font>
      <x:b/>
      <x:sz val="13"/>
      <x:color rgb="FFFFFFFF"/>
      <x:name val="Arial"/>
    </x:font>
    <x:font>
      <x:sz val="10"/>
      <x:color rgb="FF1D1D1F"/>
      <x:name val="Arial"/>
    </x:font>
    <x:font>
      <x:b/>
      <x:sz val="11"/>
      <x:color rgb="FF1D1D1F"/>
      <x:name val="Arial"/>
    </x:font>
    <x:font>
      <x:b/>
      <x:sz val="11"/>
      <x:color rgb="FF0071E3"/>
      <x:name val="Arial"/>
    </x:font>
    <x:font>
      <x:sz val="9.5"/>
      <x:color rgb="FF6E6E73"/>
      <x:name val="Arial"/>
    </x:font>
    <x:font>
      <x:b/>
      <x:sz val="10"/>
      <x:color rgb="FF0071E3"/>
      <x:name val="Arial"/>
    </x:font>
    <x:font>
      <x:i/>
      <x:sz val="8.5"/>
      <x:color rgb="FF6E6E73"/>
      <x:name val="Arial"/>
    </x:font>
    <x:font>
      <x:sz val="10"/>
      <x:color rgb="FF0071E3"/>
      <x:name val="Arial"/>
    </x:font>
    <x:font>
      <x:sz val="10"/>
      <x:color rgb="FF0071E3"/>
      <x:name val="Arial"/>
    </x:font>
    <x:font>
      <x:sz val="11"/>
      <x:color rgb="FFFFFFFF"/>
      <x:name val="Calibri"/>
    </x:font>
    <x:font>
      <x:sz val="11"/>
      <x:color theme="1"/>
      <x:name val="Arial"/>
    </x:font>
    <x:font>
      <x:sz val="10"/>
      <x:color theme="1"/>
      <x:name val="Arial"/>
    </x:font>
    <x:font>
      <x:sz val="15"/>
      <x:color theme="1"/>
      <x:name val="Arial"/>
    </x:font>
    <x:font>
      <x:b/>
      <x:sz val="15"/>
      <x:color theme="1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D1D1F"/>
      </x:patternFill>
    </x:fill>
    <x:fill>
      <x:patternFill patternType="solid">
        <x:fgColor rgb="FFF5F5F7"/>
      </x:patternFill>
    </x:fill>
    <x:fill>
      <x:patternFill patternType="solid">
        <x:fgColor rgb="FFFFFDEB"/>
      </x:patternFill>
    </x:fill>
    <x:fill>
      <x:patternFill patternType="solid">
        <x:fgColor rgb="FF24364B"/>
      </x:patternFill>
    </x:fill>
    <x:fill>
      <x:patternFill patternType="solid">
        <x:fgColor rgb="FFFFF6D9"/>
      </x:patternFill>
    </x:fill>
  </x:fills>
  <x:borders count="3">
    <x:border diagonalUp="0" diagonalDown="0"/>
    <x:border diagonalUp="0" diagonalDown="0">
      <x:left style="thin">
        <x:color rgb="FFD2D2D7"/>
      </x:left>
      <x:right style="thin">
        <x:color rgb="FFD2D2D7"/>
      </x:right>
      <x:top style="thin">
        <x:color rgb="FFD2D2D7"/>
      </x:top>
      <x:bottom style="thin">
        <x:color rgb="FFD2D2D7"/>
      </x:bottom>
    </x:border>
    <x:border diagonalUp="0" diagonalDown="0">
      <x:bottom style="thin">
        <x:color rgb="FFD2D2D7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7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1" applyAlignment="0">
      <x:alignment horizontal="general" vertical="bottom" wrapText="0"/>
    </x:xf>
    <x:xf numFmtId="164" fontId="5" fillId="0" borderId="0" xfId="0" applyFont="1" applyBorder="1" applyAlignment="0">
      <x:alignment horizontal="general" vertical="bottom" wrapText="0"/>
    </x:xf>
    <x:xf numFmtId="164" fontId="6" fillId="2" borderId="0" xfId="0" applyFont="1" applyBorder="1" applyAlignment="1">
      <x:alignment horizontal="left" vertical="center" wrapText="0"/>
    </x:xf>
    <x:xf numFmtId="164" fontId="7" fillId="0" borderId="0" xfId="0" applyFont="1" applyBorder="1" applyAlignment="1">
      <x:alignment horizontal="left" vertical="top" wrapText="1"/>
    </x:xf>
    <x:xf numFmtId="164" fontId="8" fillId="0" borderId="0" xfId="0" applyFont="1" applyBorder="0" applyAlignment="1">
      <x:alignment horizontal="left" vertical="center" wrapText="0"/>
    </x:xf>
    <x:xf numFmtId="164" fontId="9" fillId="0" borderId="0" xfId="0" applyFont="1" applyBorder="0" applyAlignment="1">
      <x:alignment horizontal="left" vertical="center" wrapText="0"/>
    </x:xf>
    <x:xf numFmtId="164" fontId="6" fillId="2" borderId="1" xfId="0" applyFont="1" applyBorder="1" applyAlignment="1">
      <x:alignment horizontal="center" vertical="center" wrapText="1"/>
    </x:xf>
    <x:xf numFmtId="164" fontId="10" fillId="3" borderId="0" xfId="0" applyFont="1" applyBorder="1" applyAlignment="1">
      <x:alignment horizontal="left" vertical="center" wrapText="0"/>
    </x:xf>
    <x:xf numFmtId="164" fontId="11" fillId="0" borderId="1" xfId="0" applyFont="1" applyBorder="1" applyAlignment="1">
      <x:alignment horizontal="center" vertical="center" wrapText="1"/>
    </x:xf>
    <x:xf numFmtId="164" fontId="8" fillId="0" borderId="1" xfId="0" applyFont="1" applyBorder="1" applyAlignment="1">
      <x:alignment horizontal="left" vertical="center" wrapText="1"/>
    </x:xf>
    <x:xf numFmtId="164" fontId="7" fillId="0" borderId="1" xfId="0" applyFont="1" applyBorder="1" applyAlignment="1">
      <x:alignment horizontal="left" vertical="center" wrapText="1"/>
    </x:xf>
    <x:xf numFmtId="164" fontId="7" fillId="4" borderId="1" xfId="0" applyFont="1" applyBorder="1" applyAlignment="1">
      <x:alignment horizontal="left" vertical="center" wrapText="1"/>
    </x:xf>
    <x:xf numFmtId="164" fontId="12" fillId="0" borderId="1" xfId="0" applyFont="1" applyBorder="1" applyAlignment="1">
      <x:alignment horizontal="left" vertical="center" wrapText="1"/>
    </x:xf>
    <x:xf numFmtId="164" fontId="12" fillId="0" borderId="0" xfId="0" applyFont="1" applyBorder="1" applyAlignment="0">
      <x:alignment horizontal="general" vertical="bottom" wrapText="0"/>
    </x:xf>
    <x:xf numFmtId="164" fontId="8" fillId="0" borderId="2" xfId="0" applyFont="1" applyBorder="1" applyAlignment="1">
      <x:alignment horizontal="left" vertical="center" wrapText="1"/>
    </x:xf>
    <x:xf numFmtId="164" fontId="13" fillId="0" borderId="2" xfId="0" applyFont="1" applyBorder="1" applyAlignment="1">
      <x:alignment horizontal="left" vertical="center" wrapText="1"/>
    </x:xf>
    <x:xf numFmtId="164" fontId="10" fillId="0" borderId="1" xfId="0" applyFont="1" applyBorder="1" applyAlignment="1">
      <x:alignment horizontal="left" vertical="center" wrapText="1"/>
    </x:xf>
    <x:xf numFmtId="164" fontId="14" fillId="0" borderId="1" xfId="0" applyFont="1" applyBorder="1" applyAlignment="1">
      <x:alignment horizontal="left" vertical="center" wrapText="1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15" fillId="5" borderId="0" xfId="0" applyNumberFormat="1" applyFont="1" applyFill="1" applyBorder="1" applyAlignment="1">
      <x:alignment horizontal="general" vertical="bottom" wrapText="0"/>
    </x:xf>
    <x:xf numFmtId="164" fontId="15" fillId="5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16" fillId="0" borderId="0" xfId="0" applyNumberFormat="1" applyFont="1" applyFill="1" applyBorder="1" applyAlignment="1">
      <x:alignment horizontal="general" vertical="bottom" wrapText="0"/>
    </x:xf>
    <x:xf numFmtId="164" fontId="17" fillId="0" borderId="0" xfId="0" applyNumberFormat="1" applyFont="1" applyFill="1" applyBorder="1" applyAlignment="1">
      <x:alignment horizontal="general" vertical="bottom" wrapText="0"/>
    </x:xf>
    <x:xf numFmtId="164" fontId="18" fillId="0" borderId="0" xfId="0" applyNumberFormat="1" applyFont="1" applyFill="1" applyBorder="1" applyAlignment="1">
      <x:alignment horizontal="general" vertical="bottom" wrapText="0"/>
    </x:xf>
    <x:xf numFmtId="164" fontId="19" fillId="0" borderId="0" xfId="0" applyNumberFormat="1" applyFont="1" applyFill="1" applyBorder="1" applyAlignment="1">
      <x:alignment horizontal="general" vertical="bottom" wrapText="0"/>
    </x:xf>
    <x:xf numFmtId="164" fontId="17" fillId="5" borderId="0" xfId="0" applyNumberFormat="1" applyFont="1" applyFill="1" applyBorder="1" applyAlignment="1">
      <x:alignment horizontal="general" vertical="bottom" wrapText="0"/>
    </x:xf>
    <x:xf numFmtId="164" fontId="20" fillId="5" borderId="0" xfId="0" applyNumberFormat="1" applyFont="1" applyFill="1" applyBorder="1" applyAlignment="1">
      <x:alignment horizontal="general" vertical="bottom" wrapText="0"/>
    </x:xf>
    <x:xf numFmtId="164" fontId="21" fillId="5" borderId="0" xfId="0" applyNumberFormat="1" applyFont="1" applyFill="1" applyBorder="1" applyAlignment="1">
      <x:alignment horizontal="general" vertical="bottom" wrapText="0"/>
    </x:xf>
    <x:xf numFmtId="164" fontId="21" fillId="5" borderId="0" xfId="0" applyNumberFormat="1" applyFont="1" applyFill="1" applyBorder="1" applyAlignment="1">
      <x:alignment horizontal="general" vertical="bottom" wrapText="1"/>
    </x:xf>
    <x:xf numFmtId="164" fontId="17" fillId="0" borderId="0" xfId="0" applyNumberFormat="1" applyFont="1" applyFill="1" applyBorder="1" applyAlignment="1">
      <x:alignment horizontal="general" vertical="bottom" wrapText="1"/>
    </x:xf>
    <x:xf numFmtId="164" fontId="21" fillId="5" borderId="0" xfId="0" applyNumberFormat="1" applyFont="1" applyFill="1" applyBorder="1" applyAlignment="1">
      <x:alignment horizontal="general" vertical="top" wrapText="1"/>
    </x:xf>
    <x:xf numFmtId="164" fontId="17" fillId="0" borderId="0" xfId="0" applyNumberFormat="1" applyFont="1" applyFill="1" applyBorder="1" applyAlignment="1">
      <x:alignment horizontal="general" vertical="top" wrapText="1"/>
    </x:xf>
    <x:xf numFmtId="164" fontId="17" fillId="6" borderId="0" xfId="0" applyNumberFormat="1" applyFont="1" applyFill="1" applyBorder="1" applyAlignment="1">
      <x:alignment horizontal="general" vertical="top" wrapText="1"/>
    </x:xf>
    <x:xf numFmtId="200" fontId="17" fillId="6" borderId="0" xfId="0" applyNumberFormat="1" applyFont="1" applyFill="1" applyBorder="1" applyAlignment="1">
      <x:alignment horizontal="general" vertical="top" wrapText="1"/>
    </x:xf>
    <x:xf numFmtId="201" fontId="17" fillId="0" borderId="0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">
    <x:dxf>
      <x:fill>
        <x:patternFill patternType="solid">
          <x:bgColor rgb="FFFCE1DE"/>
        </x:patternFill>
      </x:fill>
    </x:dxf>
    <x:dxf>
      <x:fill>
        <x:patternFill patternType="solid">
          <x:bgColor rgb="FFFCE1DE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DEB"/>
      <x:rgbColor rgb="FFF5F5F7"/>
      <x:rgbColor rgb="FF660066"/>
      <x:rgbColor rgb="FFFF8080"/>
      <x:rgbColor rgb="FF0071E3"/>
      <x:rgbColor rgb="FFD2D2D7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E6E73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1D1D1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7404a963f4fc7" /><Relationship Type="http://schemas.openxmlformats.org/officeDocument/2006/relationships/theme" Target="/xl/theme/theme1.xml" Id="R030f413637414e1a" /><Relationship Type="http://schemas.openxmlformats.org/officeDocument/2006/relationships/sharedStrings" Target="/xl/sharedStrings.xml" Id="R267261386c7440d1" /><Relationship Type="http://schemas.openxmlformats.org/officeDocument/2006/relationships/worksheet" Target="/xl/worksheets/sheet1.xml" Id="R76b11336d7914bf5" /><Relationship Type="http://schemas.openxmlformats.org/officeDocument/2006/relationships/worksheet" Target="/xl/worksheets/sheet2.xml" Id="R63b68ea38bdf4b24" /><Relationship Type="http://schemas.openxmlformats.org/officeDocument/2006/relationships/worksheet" Target="/xl/worksheets/sheet3.xml" Id="Rc5ff207a8c5844ce" /><Relationship Type="http://schemas.openxmlformats.org/officeDocument/2006/relationships/worksheet" Target="/xl/worksheets/sheet4.xml" Id="R13f529e8a50a411b" /><Relationship Type="http://schemas.openxmlformats.org/officeDocument/2006/relationships/worksheet" Target="/xl/worksheets/sheet5.xml" Id="R6913230bda2b4a56" /><Relationship Type="http://schemas.openxmlformats.org/officeDocument/2006/relationships/worksheet" Target="/xl/worksheets/sheet6.xml" Id="R85755036114e4fd8" /><Relationship Type="http://schemas.openxmlformats.org/officeDocument/2006/relationships/worksheet" Target="/xl/worksheets/sheet7.xml" Id="Rd923126dc3d04aa4" /><Relationship Type="http://schemas.openxmlformats.org/officeDocument/2006/relationships/worksheet" Target="/xl/worksheets/sheet8.xml" Id="R8d064f94c7424ae9" /><Relationship Type="http://schemas.openxmlformats.org/officeDocument/2006/relationships/worksheet" Target="/xl/worksheets/sheet9.xml" Id="R42472e5c22ce4171" /><Relationship Type="http://schemas.openxmlformats.org/officeDocument/2006/relationships/worksheet" Target="/xl/worksheets/sheet10.xml" Id="R862d008b30824c5a" /><Relationship Type="http://schemas.openxmlformats.org/officeDocument/2006/relationships/worksheet" Target="/xl/worksheets/sheet11.xml" Id="R717726c6f4e445b7" /><Relationship Type="http://schemas.openxmlformats.org/officeDocument/2006/relationships/worksheet" Target="/xl/worksheets/sheet12.xml" Id="R268f471e91834684" /><Relationship Type="http://schemas.openxmlformats.org/officeDocument/2006/relationships/worksheet" Target="/xl/worksheets/sheet13.xml" Id="Rabb6d14388384a60" /><Relationship Type="http://schemas.openxmlformats.org/officeDocument/2006/relationships/worksheet" Target="/xl/worksheets/sheet14.xml" Id="Rea36d1178a2b41f8" /><Relationship Type="http://schemas.openxmlformats.org/officeDocument/2006/relationships/worksheet" Target="/xl/worksheets/sheet15.xml" Id="R6a2375c1c7e24364" /><Relationship Type="http://schemas.openxmlformats.org/officeDocument/2006/relationships/worksheet" Target="/xl/worksheets/sheet16.xml" Id="Rcaaa39979a1b41b4" /><Relationship Type="http://schemas.openxmlformats.org/officeDocument/2006/relationships/worksheet" Target="/xl/worksheets/sheet17.xml" Id="R87343fb58e144427" /></Relationships>
</file>

<file path=xl/tables/table1.xml><?xml version="1.0" encoding="utf-8"?>
<x:table xmlns:x="http://schemas.openxmlformats.org/spreadsheetml/2006/main" id="2" name="T10PainelAreas" displayName="T10PainelAreas" ref="A5:J14" headerRowCount="1" totalsRowCount="0" totalsRowShown="0">
  <x:tableColumns count="10">
    <x:tableColumn id="1" name="Area_ID"/>
    <x:tableColumn id="2" name="Área"/>
    <x:tableColumn id="3" name="Objetivo_ID"/>
    <x:tableColumn id="4" name="Objetivo"/>
    <x:tableColumn id="5" name="Itens obrigatórios"/>
    <x:tableColumn id="6" name="Conclusões confirmadas"/>
    <x:tableColumn id="7" name="A confirmar"/>
    <x:tableColumn id="8" name="Bloqueados"/>
    <x:tableColumn id="9" name="Avanço confirmado"/>
    <x:tableColumn id="10" name="Fonte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11PlanoProjeto" displayName="T11PlanoProjeto" ref="A5:V216" headerRowCount="1" totalsRowCount="0" totalsRowShown="0">
  <x:tableColumns count="22">
    <x:tableColumn id="1" name="Tarefa_ID"/>
    <x:tableColumn id="2" name="Area_ID"/>
    <x:tableColumn id="3" name="Objetivo_ID"/>
    <x:tableColumn id="4" name="Ação / entrega"/>
    <x:tableColumn id="5" name="Critério de aceite"/>
    <x:tableColumn id="6" name="Pack_ID"/>
    <x:tableColumn id="7" name="Formato"/>
    <x:tableColumn id="8" name="Escopo"/>
    <x:tableColumn id="9" name="Status"/>
    <x:tableColumn id="10" name="Responsável"/>
    <x:tableColumn id="11" name="Início previsto"/>
    <x:tableColumn id="12" name="Prazo"/>
    <x:tableColumn id="13" name="Conclusão em"/>
    <x:tableColumn id="14" name="Depende de IDs"/>
    <x:tableColumn id="15" name="Decisao_ID"/>
    <x:tableColumn id="16" name="Fonte_ID"/>
    <x:tableColumn id="17" name="Campos canônicos"/>
    <x:tableColumn id="18" name="Natureza"/>
    <x:tableColumn id="19" name="Evidência / URL"/>
    <x:tableColumn id="20" name="Conclusão válida"/>
    <x:tableColumn id="21" name="Prazo / situação"/>
    <x:tableColumn id="22" name="Observ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12Packs" displayName="T12Packs" ref="A5:I35" headerRowCount="1" totalsRowCount="0" totalsRowShown="0">
  <x:tableColumns count="9">
    <x:tableColumn id="1" name="Pack_ID"/>
    <x:tableColumn id="2" name="Formato_ID"/>
    <x:tableColumn id="3" name="Entregável"/>
    <x:tableColumn id="4" name="Mínimo"/>
    <x:tableColumn id="5" name="Máximo"/>
    <x:tableColumn id="6" name="Obrigatórios confirmados"/>
    <x:tableColumn id="7" name="Mínimo pendente"/>
    <x:tableColumn id="8" name="Especificação"/>
    <x:tableColumn id="9" name="Fonte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13Decisoes" displayName="T13Decisoes" ref="A5:J17" headerRowCount="1" totalsRowCount="0" totalsRowShown="0">
  <x:tableColumns count="10">
    <x:tableColumn id="1" name="Decisao_ID"/>
    <x:tableColumn id="2" name="Tipo"/>
    <x:tableColumn id="3" name="Questão"/>
    <x:tableColumn id="4" name="Resolução necessária"/>
    <x:tableColumn id="5" name="Fonte_ID"/>
    <x:tableColumn id="6" name="Campos afetados"/>
    <x:tableColumn id="7" name="Status"/>
    <x:tableColumn id="8" name="Responsável"/>
    <x:tableColumn id="9" name="Prazo"/>
    <x:tableColumn id="10" name="Decisão tomada / evidênci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14Rastreabilidade" displayName="T14Rastreabilidade" ref="A5:I99" headerRowCount="1" totalsRowCount="0" totalsRowShown="0">
  <x:tableColumns count="9">
    <x:tableColumn id="1" name="Campo_ID"/>
    <x:tableColumn id="2" name="Campo"/>
    <x:tableColumn id="3" name="Domínio"/>
    <x:tableColumn id="4" name="Célula de resposta"/>
    <x:tableColumn id="5" name="Qualificação"/>
    <x:tableColumn id="6" name="Fonte_ID"/>
    <x:tableColumn id="7" name="Tratamento"/>
    <x:tableColumn id="8" name="Decisao_ID"/>
    <x:tableColumn id="9" name="Tarefa_ID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15FontesGTM" displayName="T15FontesGTM" ref="A5:E159" headerRowCount="1" totalsRowCount="0" totalsRowShown="0">
  <x:tableColumns count="5">
    <x:tableColumn id="1" name="Fonte_ID"/>
    <x:tableColumn id="2" name="Seção"/>
    <x:tableColumn id="3" name="Linha inicial"/>
    <x:tableColumn id="4" name="Linha final"/>
    <x:tableColumn id="5" name="Trecho origina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16Canais" displayName="T16Canais" ref="A5:G23" headerRowCount="1" totalsRowCount="0" totalsRowShown="0">
  <x:tableColumns count="7">
    <x:tableColumn id="1" name="Canal_ID"/>
    <x:tableColumn id="2" name="Canal"/>
    <x:tableColumn id="3" name="Objetivo"/>
    <x:tableColumn id="4" name="Formatos previstos"/>
    <x:tableColumn id="5" name="Ativação"/>
    <x:tableColumn id="6" name="Responsável"/>
    <x:tableColumn id="7" name="Fonte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.xml" Id="Rf234d296525842e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2.xml" Id="Rc9e61e8948cc49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3.xml" Id="Ra1af7e3a8d6a4f7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4.xml" Id="R739de52a7b054eb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5.xml" Id="Rf388c5e6cef1492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6.xml" Id="Rf442793f308f4b6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7.xml" Id="R51e39b538bc041e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ColWidth="8.6796875" defaultRowHeight="15"/>
  <x:cols>
    <x:col min="1" max="1" width="3" hidden="0" customWidth="1"/>
    <x:col min="2" max="2" width="34" hidden="0" customWidth="1"/>
    <x:col min="3" max="3" width="100" hidden="0" customWidth="1"/>
    <x:col min="4" max="4" width="3" hidden="0" customWidth="1"/>
  </x:cols>
  <x:sheetData>
    <x:row r="2" ht="30" hidden="0" customHeight="1">
      <x:c r="B2" s="1" t="str">
        <x:v>Blog Risco Cognitivo — plano de projeto atualizado</x:v>
      </x:c>
      <x:c r="C2" s="1"/>
    </x:row>
    <x:row r="3" ht="15" hidden="0">
      <x:c r="B3" s="2" t="s">
        <x:v>0</x:v>
      </x:c>
      <x:c r="C3" s="2"/>
    </x:row>
    <x:row r="5" ht="21.75" hidden="0" customHeight="1">
      <x:c r="B5" s="3" t="s">
        <x:v>1</x:v>
      </x:c>
      <x:c r="C5" s="3"/>
    </x:row>
    <x:row r="6" ht="30" hidden="0" customHeight="1">
      <x:c r="B6" s="4" t="str">
        <x:v>01_Formulario mantém os 94 IDs do contrato v2.0 e alimenta as abas 02–08. O plano de execução está em 11_Plano_Projeto; 10_Painel_Areas resume as áreas. Fonte: GTM anexado, atualizado em 28/09/2026.</x:v>
      </x:c>
      <x:c r="C6" s="4"/>
    </x:row>
    <x:row r="7" ht="60" hidden="0" customHeight="1">
      <x:c r="B7" s="4" t="str">
        <x:v>Atualização documental, sem comprovação de execução. Status inicial: A confirmar. Pessoas, prazos, custos e evidências de conclusão permanecem em aberto. Não confundir campos preenchidos com projeto concluído.</x:v>
      </x:c>
      <x:c r="C7" s="4"/>
    </x:row>
    <x:row r="9" ht="21.75" hidden="0" customHeight="1">
      <x:c r="B9" s="3" t="s">
        <x:v>2</x:v>
      </x:c>
      <x:c r="C9" s="3"/>
    </x:row>
    <x:row r="10" ht="15" hidden="0" customHeight="1">
      <x:c r="B10" s="4" t="s">
        <x:v>3</x:v>
      </x:c>
      <x:c r="C10" s="4"/>
    </x:row>
    <x:row r="11" ht="30" hidden="0" customHeight="1">
      <x:c r="B11" s="4" t="s">
        <x:v>4</x:v>
      </x:c>
      <x:c r="C11" s="4"/>
    </x:row>
    <x:row r="12" ht="30" hidden="0" customHeight="1">
      <x:c r="B12" s="4" t="s">
        <x:v>5</x:v>
      </x:c>
      <x:c r="C12" s="4"/>
    </x:row>
    <x:row r="13" ht="45" hidden="0" customHeight="1">
      <x:c r="B13" s="4" t="s">
        <x:v>6</x:v>
      </x:c>
      <x:c r="C13" s="4"/>
    </x:row>
    <x:row r="14" ht="15" hidden="0" customHeight="1">
      <x:c r="B14" s="4" t="s">
        <x:v>7</x:v>
      </x:c>
      <x:c r="C14" s="4"/>
    </x:row>
    <x:row r="15" ht="30" hidden="0" customHeight="1">
      <x:c r="B15" s="4" t="s">
        <x:v>8</x:v>
      </x:c>
      <x:c r="C15" s="4"/>
    </x:row>
    <x:row r="17" ht="21.75" hidden="0" customHeight="1">
      <x:c r="B17" s="3" t="s">
        <x:v>9</x:v>
      </x:c>
      <x:c r="C17" s="3"/>
    </x:row>
    <x:row r="18" ht="15" hidden="0" customHeight="1">
      <x:c r="B18" s="4" t="s">
        <x:v>10</x:v>
      </x:c>
      <x:c r="C18" s="4"/>
    </x:row>
    <x:row r="19" ht="15" hidden="0" customHeight="1">
      <x:c r="B19" s="4" t="s">
        <x:v>11</x:v>
      </x:c>
      <x:c r="C19" s="4"/>
    </x:row>
    <x:row r="20" ht="15" hidden="0" customHeight="1">
      <x:c r="B20" s="4" t="s">
        <x:v>12</x:v>
      </x:c>
      <x:c r="C20" s="4"/>
    </x:row>
    <x:row r="21" ht="15" hidden="0" customHeight="1">
      <x:c r="B21" s="4" t="s">
        <x:v>13</x:v>
      </x:c>
      <x:c r="C21" s="4"/>
    </x:row>
    <x:row r="22" ht="15" hidden="0" customHeight="1">
      <x:c r="B22" s="4" t="s">
        <x:v>14</x:v>
      </x:c>
      <x:c r="C22" s="4"/>
    </x:row>
    <x:row r="23" ht="15" hidden="0" customHeight="1">
      <x:c r="B23" s="4" t="s">
        <x:v>15</x:v>
      </x:c>
      <x:c r="C23" s="4"/>
    </x:row>
    <x:row r="24" ht="15" hidden="0" customHeight="1">
      <x:c r="B24" s="4" t="s">
        <x:v>16</x:v>
      </x:c>
      <x:c r="C24" s="4"/>
    </x:row>
    <x:row r="25" ht="15" hidden="0" customHeight="1">
      <x:c r="B25" s="4" t="s">
        <x:v>17</x:v>
      </x:c>
      <x:c r="C25" s="4"/>
    </x:row>
    <x:row r="26" ht="15" hidden="0" customHeight="1">
      <x:c r="B26" s="4" t="s">
        <x:v>18</x:v>
      </x:c>
      <x:c r="C26" s="4"/>
    </x:row>
    <x:row r="27" ht="15" hidden="0" customHeight="1">
      <x:c r="B27" s="4" t="s">
        <x:v>19</x:v>
      </x:c>
      <x:c r="C27" s="4"/>
    </x:row>
    <x:row r="29" ht="21.75" hidden="0" customHeight="1">
      <x:c r="B29" s="3" t="s">
        <x:v>20</x:v>
      </x:c>
      <x:c r="C29" s="3"/>
    </x:row>
    <x:row r="30" ht="15" hidden="0" customHeight="1">
      <x:c r="B30" s="4" t="s">
        <x:v>21</x:v>
      </x:c>
      <x:c r="C30" s="4"/>
    </x:row>
    <x:row r="31" ht="15" hidden="0" customHeight="1">
      <x:c r="B31" s="4" t="s">
        <x:v>22</x:v>
      </x:c>
      <x:c r="C31" s="4"/>
    </x:row>
    <x:row r="32" ht="15" hidden="0" customHeight="1">
      <x:c r="B32" s="4" t="s">
        <x:v>23</x:v>
      </x:c>
      <x:c r="C32" s="4"/>
    </x:row>
    <x:row r="33" ht="15" hidden="0" customHeight="1">
      <x:c r="B33" s="4" t="s">
        <x:v>24</x:v>
      </x:c>
      <x:c r="C33" s="4"/>
    </x:row>
    <x:row r="35" ht="21.75" hidden="0" customHeight="1">
      <x:c r="B35" s="3" t="s">
        <x:v>25</x:v>
      </x:c>
      <x:c r="C35" s="3"/>
    </x:row>
    <x:row r="36" ht="15" hidden="0" customHeight="1">
      <x:c r="B36" s="4" t="s">
        <x:v>26</x:v>
      </x:c>
      <x:c r="C36" s="4"/>
    </x:row>
    <x:row r="37" ht="30" hidden="0" customHeight="1">
      <x:c r="B37" s="4" t="s">
        <x:v>27</x:v>
      </x:c>
      <x:c r="C37" s="4"/>
    </x:row>
    <x:row r="38" ht="15" hidden="0" customHeight="1">
      <x:c r="B38" s="4" t="s">
        <x:v>28</x:v>
      </x:c>
      <x:c r="C38" s="4"/>
    </x:row>
    <x:row r="39" ht="15" hidden="0" customHeight="1">
      <x:c r="B39" s="4" t="s">
        <x:v>29</x:v>
      </x:c>
      <x:c r="C39" s="4"/>
    </x:row>
    <x:row r="40" ht="30" hidden="0" customHeight="1">
      <x:c r="B40" s="4" t="s">
        <x:v>30</x:v>
      </x:c>
      <x:c r="C40" s="4"/>
    </x:row>
    <x:row r="41" ht="15" hidden="0" customHeight="1">
      <x:c r="B41" s="4" t="s">
        <x:v>31</x:v>
      </x:c>
      <x:c r="C41" s="4"/>
    </x:row>
    <x:row r="44" ht="40" customHeight="1">
      <x:c r="B44" s="22" t="str">
        <x:v>COMO OPERAR O PLANO</x:v>
      </x:c>
    </x:row>
    <x:row r="45" ht="40" customHeight="1">
      <x:c r="B45" s="22" t="str">
        <x:v>1. Resolva 13_Decisoes; confirme escopo, donos, duração e prioridades.</x:v>
      </x:c>
    </x:row>
    <x:row r="46" ht="40" customHeight="1">
      <x:c r="B46" s="22" t="str">
        <x:v>2. Em 11_Plano_Projeto, atualize status, responsável, início, prazo e evidência. IDs são estáveis.</x:v>
      </x:c>
    </x:row>
    <x:row r="47" ht="40" customHeight="1">
      <x:c r="B47" s="22" t="str">
        <x:v>3. Para concluir, registre status Concluída, link de evidência e data de conclusão. Dependências usam IDs de tarefa.</x:v>
      </x:c>
    </x:row>
    <x:row r="48" ht="40" customHeight="1">
      <x:c r="B48" s="22" t="str">
        <x:v>4. 12_Packs calcula mínimos e máximos; os seis stories opcionais não entram no mínimo obrigatório.</x:v>
      </x:c>
    </x:row>
    <x:row r="49" ht="40" customHeight="1">
      <x:c r="B49" s="22" t="str">
        <x:v>5. 14_Rastreabilidade liga os 94 campos à fonte e às tarefas; 15_Fontes_GTM preserva trechos e linhas.</x:v>
      </x:c>
    </x:row>
    <x:row r="50" ht="40" customHeight="1">
      <x:c r="B50" s="22" t="str">
        <x:v>6. A ordem, decomposição, dependências e critérios operacionais das tarefas são propostas de planejamento.</x:v>
      </x:c>
    </x:row>
    <x:row r="51" ht="40" customHeight="1">
      <x:c r="B51" s="22" t="str">
        <x:v>7. F0–F8 têm significados divergentes na ficha e nos títulos. Use IDs AR/OBJ/Tarefa; veja DEC-02.</x:v>
      </x:c>
    </x:row>
    <x:row r="52" ht="40" customHeight="1">
      <x:c r="B52" s="22" t="str">
        <x:v>8. O JSON anexado continua válido para as células canônicas originais; não é o schema do produto nem das novas abas.</x:v>
      </x:c>
    </x:row>
    <x:row r="53" ht="40" customHeight="1">
      <x:c r="B53" s="22" t="str">
        <x:v>9. Referências externas são apenas citadas pelo GTM. Nenhum ZIP, repositório ou documento citado foi verificado.</x:v>
      </x:c>
    </x:row>
    <x:row r="54" ht="40" customHeight="1">
      <x:c r="B54" s="22" t="str">
        <x:v>10. GitHub é a fonte operacional prevista. Esta atualização não altera repositórios nem comprova sincronização.</x:v>
      </x:c>
    </x:row>
    <x:row r="55" ht="40" customHeight="1">
      <x:c r="B55" s="22" t="str">
        <x:v>11. Novas tarefas: estenda a tabela e os intervalos de resumo; preserve IDs existentes e registre a fonte.</x:v>
      </x:c>
    </x:row>
    <x:row r="56" ht="40" customHeight="1">
      <x:c r="B56" s="22" t="str">
        <x:v>12. Células amarelas são entradas operacionais. Branco indica informação ainda não fornecida.</x:v>
      </x:c>
    </x:row>
  </x:sheetData>
  <x:mergeCells>
    <x:mergeCell ref="B2:C2"/>
    <x:mergeCell ref="B3:C3"/>
    <x:mergeCell ref="B5:C5"/>
    <x:mergeCell ref="B6:C6"/>
    <x:mergeCell ref="B7:C7"/>
    <x:mergeCell ref="B9:C9"/>
    <x:mergeCell ref="B10:C10"/>
    <x:mergeCell ref="B11:C11"/>
    <x:mergeCell ref="B12:C12"/>
    <x:mergeCell ref="B13:C13"/>
    <x:mergeCell ref="B14:C14"/>
    <x:mergeCell ref="B15:C15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9:C29"/>
    <x:mergeCell ref="B30:C30"/>
    <x:mergeCell ref="B31:C31"/>
    <x:mergeCell ref="B32:C32"/>
    <x:mergeCell ref="B33:C33"/>
    <x:mergeCell ref="B35:C35"/>
    <x:mergeCell ref="B36:C36"/>
    <x:mergeCell ref="B37:C37"/>
    <x:mergeCell ref="B38:C38"/>
    <x:mergeCell ref="B39:C39"/>
    <x:mergeCell ref="B40:C40"/>
    <x:mergeCell ref="B41:C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8.6796875" defaultRowHeight="15"/>
  <x:cols>
    <x:col min="1" max="1" width="2.5" hidden="0" customWidth="1"/>
    <x:col min="2" max="2" width="7" hidden="0" customWidth="1"/>
    <x:col min="3" max="3" width="26" hidden="0" customWidth="1"/>
    <x:col min="4" max="4" width="46" hidden="0" customWidth="1"/>
    <x:col min="5" max="5" width="40" hidden="0" customWidth="1"/>
    <x:col min="6" max="6" width="46" hidden="0" customWidth="1"/>
    <x:col min="7" max="8" width="2.5" hidden="0" customWidth="1"/>
    <x:col min="9" max="9" width="26" hidden="0" customWidth="1"/>
    <x:col min="10" max="10" width="14" hidden="0" customWidth="1"/>
    <x:col min="7" max="7" width="24" hidden="0" customWidth="1"/>
    <x:col min="8" max="8" width="22" hidden="0" customWidth="1"/>
  </x:cols>
  <x:sheetData>
    <x:row r="2" ht="30" hidden="0" customHeight="1">
      <x:c r="B2" s="1" t="str">
        <x:v>Blog Risco Cognitivo — Projeto de lançamento</x:v>
      </x:c>
      <x:c r="C2" s="1"/>
      <x:c r="D2" s="1"/>
      <x:c r="E2" s="1"/>
      <x:c r="F2" s="1"/>
      <x:c r="I2" s="5" t="str">
        <x:v>Campos registrados (inclui lacunas)</x:v>
      </x:c>
      <x:c r="J2" s="6" t="str">
        <x:f aca="0">COUNTA(E6:E151)&amp;" / 94"</x:f>
        <x:v>94 / 94</x:v>
      </x:c>
    </x:row>
    <x:row r="3" ht="15" hidden="0">
      <x:c r="B3" s="2" t="str">
        <x:v>Formulário canônico v2.0 — atualizado a partir do GTM em 28/09/2026</x:v>
      </x:c>
      <x:c r="C3" s="2"/>
      <x:c r="D3" s="2"/>
      <x:c r="E3" s="2"/>
      <x:c r="F3" s="2"/>
    </x:row>
    <x:row r="5" ht="21.75" hidden="0" customHeight="1">
      <x:c r="B5" s="7" t="s">
        <x:v>32</x:v>
      </x:c>
      <x:c r="C5" s="7" t="s">
        <x:v>33</x:v>
      </x:c>
      <x:c r="D5" s="7" t="s">
        <x:v>34</x:v>
      </x:c>
      <x:c r="E5" s="7" t="s">
        <x:v>35</x:v>
      </x:c>
      <x:c r="F5" s="7" t="s">
        <x:v>36</x:v>
      </x:c>
      <x:c r="G5" s="21" t="str">
        <x:v>Fonte GTM</x:v>
      </x:c>
      <x:c r="H5" s="21" t="str">
        <x:v>Qualificação</x:v>
      </x:c>
    </x:row>
    <x:row r="6" ht="19.5" hidden="0" customHeight="1">
      <x:c r="B6" s="3" t="s">
        <x:v>37</x:v>
      </x:c>
      <x:c r="C6" s="3"/>
      <x:c r="D6" s="3"/>
      <x:c r="E6" s="3"/>
      <x:c r="F6" s="3"/>
      <x:c r="G6" s="22"/>
      <x:c r="H6" s="22"/>
    </x:row>
    <x:row r="7" ht="15.75" hidden="0" customHeight="1">
      <x:c r="B7" s="8" t="s">
        <x:v>38</x:v>
      </x:c>
      <x:c r="C7" s="8"/>
      <x:c r="D7" s="8"/>
      <x:c r="E7" s="8"/>
      <x:c r="F7" s="8"/>
      <x:c r="G7" s="22"/>
      <x:c r="H7" s="22"/>
    </x:row>
    <x:row r="8" ht="66" hidden="0" customHeight="1">
      <x:c r="B8" s="9" t="s">
        <x:v>39</x:v>
      </x:c>
      <x:c r="C8" s="10" t="s">
        <x:v>40</x:v>
      </x:c>
      <x:c r="D8" s="11" t="s">
        <x:v>41</x:v>
      </x:c>
      <x:c r="E8" s="12" t="str">
        <x:v>Falta de conhecimento técnico e didático baseado em evidências sobre riscos cognitivos no trabalho e na autogestão.</x:v>
      </x:c>
      <x:c r="F8" s="13" t="s">
        <x:v>42</x:v>
      </x:c>
      <x:c r="G8" s="22" t="str">
        <x:v>GTM-01</x:v>
      </x:c>
      <x:c r="H8" s="22" t="str">
        <x:v>Documentado</x:v>
      </x:c>
    </x:row>
    <x:row r="9" ht="66" hidden="0" customHeight="1">
      <x:c r="B9" s="9" t="s">
        <x:v>43</x:v>
      </x:c>
      <x:c r="C9" s="10" t="s">
        <x:v>44</x:v>
      </x:c>
      <x:c r="D9" s="11" t="s">
        <x:v>45</x:v>
      </x:c>
      <x:c r="E9" s="12" t="str">
        <x:v>Trabalhador solo/autônomo neurodivergente com dificuldades de autogestão.</x:v>
      </x:c>
      <x:c r="F9" s="13" t="s">
        <x:v>46</x:v>
      </x:c>
      <x:c r="G9" s="22" t="str">
        <x:v>GTM-01</x:v>
      </x:c>
      <x:c r="H9" s="22" t="str">
        <x:v>Documentado</x:v>
      </x:c>
    </x:row>
    <x:row r="10" ht="66" hidden="0" customHeight="1">
      <x:c r="B10" s="9" t="s">
        <x:v>47</x:v>
      </x:c>
      <x:c r="C10" s="10" t="s">
        <x:v>48</x:v>
      </x:c>
      <x:c r="D10" s="11" t="s">
        <x:v>49</x:v>
      </x:c>
      <x:c r="E10" s="12" t="str">
        <x:v>Conhecimento prático e estruturado combinado com assets, ferramentas e recursos aplicáveis ao trabalho real.</x:v>
      </x:c>
      <x:c r="F10" s="13" t="s">
        <x:v>50</x:v>
      </x:c>
      <x:c r="G10" s="22" t="str">
        <x:v>GTM-01</x:v>
      </x:c>
      <x:c r="H10" s="22" t="str">
        <x:v>Documentado</x:v>
      </x:c>
    </x:row>
    <x:row r="11" ht="66" hidden="0" customHeight="1">
      <x:c r="B11" s="9" t="s">
        <x:v>51</x:v>
      </x:c>
      <x:c r="C11" s="10" t="s">
        <x:v>52</x:v>
      </x:c>
      <x:c r="D11" s="11" t="s">
        <x:v>53</x:v>
      </x:c>
      <x:c r="E11" s="12" t="str">
        <x:v>Blog, redes sociais, newsletter, comunidades e canais diretos. Priorizar canais antes de executar a matriz completa.</x:v>
      </x:c>
      <x:c r="F11" s="13" t="s">
        <x:v>54</x:v>
      </x:c>
      <x:c r="G11" s="22" t="str">
        <x:v>GTM-04</x:v>
      </x:c>
      <x:c r="H11" s="22" t="str">
        <x:v>Documentado</x:v>
      </x:c>
    </x:row>
    <x:row r="12" ht="66" hidden="0" customHeight="1">
      <x:c r="B12" s="9" t="s">
        <x:v>55</x:v>
      </x:c>
      <x:c r="C12" s="10" t="s">
        <x:v>56</x:v>
      </x:c>
      <x:c r="D12" s="11" t="s">
        <x:v>57</x:v>
      </x:c>
      <x:c r="E12" s="12" t="str">
        <x:v>A definir. Downloads de assets aparecem como métrica, mas não foram designados North Star.</x:v>
      </x:c>
      <x:c r="F12" s="13" t="s">
        <x:v>58</x:v>
      </x:c>
      <x:c r="G12" s="22" t="str">
        <x:v>GTM-01</x:v>
      </x:c>
      <x:c r="H12" s="22" t="str">
        <x:v>Parcial / a validar</x:v>
      </x:c>
    </x:row>
    <x:row r="13" ht="66" hidden="0" customHeight="1">
      <x:c r="B13" s="9" t="s">
        <x:v>59</x:v>
      </x:c>
      <x:c r="C13" s="10" t="s">
        <x:v>60</x:v>
      </x:c>
      <x:c r="D13" s="11" t="s">
        <x:v>61</x:v>
      </x:c>
      <x:c r="E13" s="12" t="str">
        <x:v>A definir. Riscos documentados: overkill, baixa eficiência, retrabalho e baixa aplicabilidade.</x:v>
      </x:c>
      <x:c r="F13" s="13" t="s">
        <x:v>62</x:v>
      </x:c>
      <x:c r="G13" s="22" t="str">
        <x:v>GTM-01</x:v>
      </x:c>
      <x:c r="H13" s="22" t="str">
        <x:v>Parcial / a validar</x:v>
      </x:c>
    </x:row>
    <x:row r="14" ht="66" hidden="0" customHeight="1">
      <x:c r="B14" s="9" t="s">
        <x:v>63</x:v>
      </x:c>
      <x:c r="C14" s="10" t="s">
        <x:v>64</x:v>
      </x:c>
      <x:c r="D14" s="11" t="s">
        <x:v>65</x:v>
      </x:c>
      <x:c r="E14" s="12" t="str">
        <x:v>Não informado no GTM. Definir antes da execução.</x:v>
      </x:c>
      <x:c r="F14" s="13" t="s">
        <x:v>66</x:v>
      </x:c>
      <x:c r="G14" s="22" t="str">
        <x:v>GTM-01;GTM-02</x:v>
      </x:c>
      <x:c r="H14" s="22" t="str">
        <x:v>Não informado</x:v>
      </x:c>
    </x:row>
    <x:row r="15" ht="66" hidden="0" customHeight="1">
      <x:c r="B15" s="9" t="s">
        <x:v>67</x:v>
      </x:c>
      <x:c r="C15" s="10" t="s">
        <x:v>68</x:v>
      </x:c>
      <x:c r="D15" s="11" t="s">
        <x:v>69</x:v>
      </x:c>
      <x:c r="E15" s="12" t="str">
        <x:v>Não informado no GTM. Definir antes da execução.</x:v>
      </x:c>
      <x:c r="F15" s="13" t="s">
        <x:v>70</x:v>
      </x:c>
      <x:c r="G15" s="22" t="str">
        <x:v>GTM-01;GTM-02</x:v>
      </x:c>
      <x:c r="H15" s="22" t="str">
        <x:v>Não informado</x:v>
      </x:c>
    </x:row>
    <x:row r="16" ht="66" hidden="0" customHeight="1">
      <x:c r="B16" s="9" t="s">
        <x:v>71</x:v>
      </x:c>
      <x:c r="C16" s="10" t="s">
        <x:v>72</x:v>
      </x:c>
      <x:c r="D16" s="11" t="s">
        <x:v>73</x:v>
      </x:c>
      <x:c r="E16" s="12" t="str">
        <x:v>Não informado no GTM. Definir antes da execução.</x:v>
      </x:c>
      <x:c r="F16" s="13" t="s">
        <x:v>74</x:v>
      </x:c>
      <x:c r="G16" s="22" t="str">
        <x:v>GTM-01;GTM-02</x:v>
      </x:c>
      <x:c r="H16" s="22" t="str">
        <x:v>Não informado</x:v>
      </x:c>
    </x:row>
    <x:row r="17" ht="66" hidden="0" customHeight="1">
      <x:c r="B17" s="9" t="s">
        <x:v>75</x:v>
      </x:c>
      <x:c r="C17" s="10" t="s">
        <x:v>76</x:v>
      </x:c>
      <x:c r="D17" s="11" t="s">
        <x:v>77</x:v>
      </x:c>
      <x:c r="E17" s="12" t="str">
        <x:v>Não informado no GTM. Definir antes da execução.</x:v>
      </x:c>
      <x:c r="F17" s="13" t="s">
        <x:v>78</x:v>
      </x:c>
      <x:c r="G17" s="22" t="str">
        <x:v>GTM-01;GTM-02</x:v>
      </x:c>
      <x:c r="H17" s="22" t="str">
        <x:v>Não informado</x:v>
      </x:c>
    </x:row>
    <x:row r="18" ht="66" hidden="0" customHeight="1">
      <x:c r="B18" s="9" t="s">
        <x:v>79</x:v>
      </x:c>
      <x:c r="C18" s="10" t="s">
        <x:v>80</x:v>
      </x:c>
      <x:c r="D18" s="11" t="s">
        <x:v>81</x:v>
      </x:c>
      <x:c r="E18" s="12" t="str">
        <x:v>Não informado no GTM. Definir antes da execução.</x:v>
      </x:c>
      <x:c r="F18" s="13" t="s">
        <x:v>82</x:v>
      </x:c>
      <x:c r="G18" s="22" t="str">
        <x:v>GTM-01;GTM-02</x:v>
      </x:c>
      <x:c r="H18" s="22" t="str">
        <x:v>Não informado</x:v>
      </x:c>
    </x:row>
    <x:row r="19" ht="66" hidden="0" customHeight="1">
      <x:c r="B19" s="9" t="s">
        <x:v>83</x:v>
      </x:c>
      <x:c r="C19" s="10" t="s">
        <x:v>84</x:v>
      </x:c>
      <x:c r="D19" s="11" t="s">
        <x:v>85</x:v>
      </x:c>
      <x:c r="E19" s="12" t="str">
        <x:v>Não informado no GTM. Definir antes da execução.</x:v>
      </x:c>
      <x:c r="F19" s="13" t="s">
        <x:v>86</x:v>
      </x:c>
      <x:c r="G19" s="22" t="str">
        <x:v>GTM-01;GTM-02</x:v>
      </x:c>
      <x:c r="H19" s="22" t="str">
        <x:v>Não informado</x:v>
      </x:c>
    </x:row>
    <x:row r="20">
      <x:c r="G20" s="22"/>
      <x:c r="H20" s="22"/>
    </x:row>
    <x:row r="21" ht="19.5" hidden="0" customHeight="1">
      <x:c r="B21" s="3" t="s">
        <x:v>87</x:v>
      </x:c>
      <x:c r="C21" s="3"/>
      <x:c r="D21" s="3"/>
      <x:c r="E21" s="3"/>
      <x:c r="F21" s="3"/>
      <x:c r="G21" s="22"/>
      <x:c r="H21" s="22"/>
    </x:row>
    <x:row r="22" ht="15.75" hidden="0" customHeight="1">
      <x:c r="B22" s="8" t="s">
        <x:v>88</x:v>
      </x:c>
      <x:c r="C22" s="8"/>
      <x:c r="D22" s="8"/>
      <x:c r="E22" s="8"/>
      <x:c r="F22" s="8"/>
      <x:c r="G22" s="22"/>
      <x:c r="H22" s="22"/>
    </x:row>
    <x:row r="23" ht="66" hidden="0" customHeight="1">
      <x:c r="B23" s="9" t="s">
        <x:v>89</x:v>
      </x:c>
      <x:c r="C23" s="10" t="s">
        <x:v>90</x:v>
      </x:c>
      <x:c r="D23" s="11" t="s">
        <x:v>91</x:v>
      </x:c>
      <x:c r="E23" s="12" t="str">
        <x:v>Blog Risco Cognitivo — Lançamento.</x:v>
      </x:c>
      <x:c r="F23" s="13" t="s">
        <x:v>92</x:v>
      </x:c>
      <x:c r="G23" s="22" t="str">
        <x:v>GTM-01</x:v>
      </x:c>
      <x:c r="H23" s="22" t="str">
        <x:v>Documentado</x:v>
      </x:c>
    </x:row>
    <x:row r="24" ht="66" hidden="0" customHeight="1">
      <x:c r="B24" s="9" t="s">
        <x:v>93</x:v>
      </x:c>
      <x:c r="C24" s="10" t="s">
        <x:v>94</x:v>
      </x:c>
      <x:c r="D24" s="11" t="s">
        <x:v>95</x:v>
      </x:c>
      <x:c r="E24" s="12" t="str">
        <x:v>Canal do Programa EXECUTAR para divulgação, aquisição, experimentação e validação de demanda.</x:v>
      </x:c>
      <x:c r="F24" s="13" t="s">
        <x:v>96</x:v>
      </x:c>
      <x:c r="G24" s="22" t="str">
        <x:v>GTM-01</x:v>
      </x:c>
      <x:c r="H24" s="22" t="str">
        <x:v>Documentado</x:v>
      </x:c>
    </x:row>
    <x:row r="25" ht="66" hidden="0" customHeight="1">
      <x:c r="B25" s="9" t="s">
        <x:v>97</x:v>
      </x:c>
      <x:c r="C25" s="10" t="s">
        <x:v>98</x:v>
      </x:c>
      <x:c r="D25" s="11" t="s">
        <x:v>99</x:v>
      </x:c>
      <x:c r="E25" s="12" t="str">
        <x:v>Validar interesse, utilidade, compartilhamento, adoção e demanda; apresentar amostras beta do ecossistema.</x:v>
      </x:c>
      <x:c r="F25" s="13" t="s">
        <x:v>100</x:v>
      </x:c>
      <x:c r="G25" s="22" t="str">
        <x:v>GTM-01</x:v>
      </x:c>
      <x:c r="H25" s="22" t="str">
        <x:v>Documentado</x:v>
      </x:c>
    </x:row>
    <x:row r="26" ht="66" hidden="0" customHeight="1">
      <x:c r="B26" s="9" t="s">
        <x:v>101</x:v>
      </x:c>
      <x:c r="C26" s="10" t="s">
        <x:v>102</x:v>
      </x:c>
      <x:c r="D26" s="11" t="s">
        <x:v>103</x:v>
      </x:c>
      <x:c r="E26" s="12" t="str">
        <x:v>Limite documentado: preservar centros canônicos; evitar cópias divergentes. Exclusões de escopo do MVP ainda a definir.</x:v>
      </x:c>
      <x:c r="F26" s="13" t="s">
        <x:v>104</x:v>
      </x:c>
      <x:c r="G26" s="22" t="str">
        <x:v>GTM-16</x:v>
      </x:c>
      <x:c r="H26" s="22" t="str">
        <x:v>Parcial / a validar</x:v>
      </x:c>
    </x:row>
    <x:row r="27" ht="66" hidden="0" customHeight="1">
      <x:c r="B27" s="9" t="s">
        <x:v>105</x:v>
      </x:c>
      <x:c r="C27" s="10" t="s">
        <x:v>106</x:v>
      </x:c>
      <x:c r="D27" s="11" t="s">
        <x:v>107</x:v>
      </x:c>
      <x:c r="E27" s="12" t="str">
        <x:v>Blog full stack, três packs, agentes, loja, mapa, schema, Quick Frameworks e integrações. CMS e pipeline também constam na ficha inicial.</x:v>
      </x:c>
      <x:c r="F27" s="13" t="s">
        <x:v>108</x:v>
      </x:c>
      <x:c r="G27" s="22" t="str">
        <x:v>GTM-01;GTM-09</x:v>
      </x:c>
      <x:c r="H27" s="22" t="str">
        <x:v>Documentado</x:v>
      </x:c>
    </x:row>
    <x:row r="28" ht="68" hidden="0" customHeight="1">
      <x:c r="B28" s="9" t="s">
        <x:v>109</x:v>
      </x:c>
      <x:c r="C28" s="10" t="s">
        <x:v>110</x:v>
      </x:c>
      <x:c r="D28" s="11" t="s">
        <x:v>111</x:v>
      </x:c>
      <x:c r="E28" s="12" t="str">
        <x:v>Gates documentados: IDs e evidências rastreáveis, QA antes de publicação e claims factuais com Evidence_ID/Source_ID. Aceite do lançamento a aprovar.</x:v>
      </x:c>
      <x:c r="F28" s="13" t="s">
        <x:v>112</x:v>
      </x:c>
      <x:c r="G28" s="22" t="str">
        <x:v>GTM-11;GTM-15</x:v>
      </x:c>
      <x:c r="H28" s="22" t="str">
        <x:v>Documentado</x:v>
      </x:c>
    </x:row>
    <x:row r="29" ht="66" hidden="0" customHeight="1">
      <x:c r="B29" s="9" t="s">
        <x:v>113</x:v>
      </x:c>
      <x:c r="C29" s="10" t="s">
        <x:v>114</x:v>
      </x:c>
      <x:c r="D29" s="11" t="s">
        <x:v>115</x:v>
      </x:c>
      <x:c r="E29" s="12" t="str">
        <x:v>Trabalhador solo/autônomo neurodivergente.</x:v>
      </x:c>
      <x:c r="F29" s="13" t="s">
        <x:v>116</x:v>
      </x:c>
      <x:c r="G29" s="22" t="str">
        <x:v>GTM-01</x:v>
      </x:c>
      <x:c r="H29" s="22" t="str">
        <x:v>Documentado</x:v>
      </x:c>
    </x:row>
    <x:row r="30" ht="66" hidden="0" customHeight="1">
      <x:c r="B30" s="9" t="s">
        <x:v>117</x:v>
      </x:c>
      <x:c r="C30" s="10" t="s">
        <x:v>118</x:v>
      </x:c>
      <x:c r="D30" s="11" t="s">
        <x:v>119</x:v>
      </x:c>
      <x:c r="E30" s="12" t="str">
        <x:v>Descobrir conteúdos em Reels, TikTok, Shorts, Instagram, Threads, X e Pinterest.</x:v>
      </x:c>
      <x:c r="F30" s="13" t="s">
        <x:v>120</x:v>
      </x:c>
      <x:c r="G30" s="22" t="str">
        <x:v>GTM-04</x:v>
      </x:c>
      <x:c r="H30" s="22" t="str">
        <x:v>Documentado</x:v>
      </x:c>
    </x:row>
    <x:row r="31" ht="66" hidden="0" customHeight="1">
      <x:c r="B31" s="9" t="s">
        <x:v>121</x:v>
      </x:c>
      <x:c r="C31" s="10" t="s">
        <x:v>122</x:v>
      </x:c>
      <x:c r="D31" s="11" t="s">
        <x:v>123</x:v>
      </x:c>
      <x:c r="E31" s="12" t="str">
        <x:v>Executar ação concreta por Blog, Stories, newsletter, WhatsApp ou ferramentas.</x:v>
      </x:c>
      <x:c r="F31" s="13" t="s">
        <x:v>124</x:v>
      </x:c>
      <x:c r="G31" s="22" t="str">
        <x:v>GTM-04</x:v>
      </x:c>
      <x:c r="H31" s="22" t="str">
        <x:v>Documentado</x:v>
      </x:c>
    </x:row>
    <x:row r="32" ht="66" hidden="0" customHeight="1">
      <x:c r="B32" s="9" t="s">
        <x:v>125</x:v>
      </x:c>
      <x:c r="C32" s="10" t="s">
        <x:v>126</x:v>
      </x:c>
      <x:c r="D32" s="11" t="s">
        <x:v>127</x:v>
      </x:c>
      <x:c r="E32" s="12" t="str">
        <x:v>Relacionamento recorrente por newsletter, comunidade, WhatsApp, Telegram e YouTube.</x:v>
      </x:c>
      <x:c r="F32" s="13" t="s">
        <x:v>128</x:v>
      </x:c>
      <x:c r="G32" s="22" t="str">
        <x:v>GTM-04</x:v>
      </x:c>
      <x:c r="H32" s="22" t="str">
        <x:v>Documentado</x:v>
      </x:c>
    </x:row>
    <x:row r="33" ht="66" hidden="0" customHeight="1">
      <x:c r="B33" s="9" t="s">
        <x:v>129</x:v>
      </x:c>
      <x:c r="C33" s="10" t="s">
        <x:v>130</x:v>
      </x:c>
      <x:c r="D33" s="11" t="s">
        <x:v>131</x:v>
      </x:c>
      <x:c r="E33" s="12" t="str">
        <x:v>Hipótese: reconhecer um problema e encontrar uma solução utilizável sem reconstruir contexto. Validar com usuários.</x:v>
      </x:c>
      <x:c r="F33" s="13" t="s">
        <x:v>132</x:v>
      </x:c>
      <x:c r="G33" s="22" t="str">
        <x:v>GTM-11;GTM-12</x:v>
      </x:c>
      <x:c r="H33" s="22" t="str">
        <x:v>Proposta a validar</x:v>
      </x:c>
    </x:row>
    <x:row r="34" ht="66" hidden="0" customHeight="1">
      <x:c r="B34" s="9" t="s">
        <x:v>133</x:v>
      </x:c>
      <x:c r="C34" s="10" t="s">
        <x:v>134</x:v>
      </x:c>
      <x:c r="D34" s="11" t="s">
        <x:v>135</x:v>
      </x:c>
      <x:c r="E34" s="12" t="str">
        <x:v>Proposta: como trabalhador neurodivergente, quero filtrar meu problema para encontrar artigos e soluções aplicáveis ao meu trabalho.</x:v>
      </x:c>
      <x:c r="F34" s="13" t="s">
        <x:v>136</x:v>
      </x:c>
      <x:c r="G34" s="22" t="str">
        <x:v>GTM-08</x:v>
      </x:c>
      <x:c r="H34" s="22" t="str">
        <x:v>Proposta a validar</x:v>
      </x:c>
    </x:row>
    <x:row r="35">
      <x:c r="G35" s="22"/>
      <x:c r="H35" s="22"/>
    </x:row>
    <x:row r="36" ht="19.5" hidden="0" customHeight="1">
      <x:c r="B36" s="3" t="s">
        <x:v>137</x:v>
      </x:c>
      <x:c r="C36" s="3"/>
      <x:c r="D36" s="3"/>
      <x:c r="E36" s="3"/>
      <x:c r="F36" s="3"/>
      <x:c r="G36" s="22"/>
      <x:c r="H36" s="22"/>
    </x:row>
    <x:row r="37" ht="15.75" hidden="0" customHeight="1">
      <x:c r="B37" s="8" t="s">
        <x:v>138</x:v>
      </x:c>
      <x:c r="C37" s="8"/>
      <x:c r="D37" s="8"/>
      <x:c r="E37" s="8"/>
      <x:c r="F37" s="8"/>
      <x:c r="G37" s="22"/>
      <x:c r="H37" s="22"/>
    </x:row>
    <x:row r="38" ht="66" hidden="0" customHeight="1">
      <x:c r="B38" s="9" t="s">
        <x:v>139</x:v>
      </x:c>
      <x:c r="C38" s="10" t="s">
        <x:v>140</x:v>
      </x:c>
      <x:c r="D38" s="11" t="s">
        <x:v>141</x:v>
      </x:c>
      <x:c r="E38" s="12" t="str">
        <x:v>React/Next.js citados no resumo; versões e decisão final não informadas. Design System, tokens e golden screens previstos.</x:v>
      </x:c>
      <x:c r="F38" s="13" t="s">
        <x:v>142</x:v>
      </x:c>
      <x:c r="G38" s="22" t="str">
        <x:v>GTM-02</x:v>
      </x:c>
      <x:c r="H38" s="22" t="str">
        <x:v>Parcial / a validar</x:v>
      </x:c>
    </x:row>
    <x:row r="39" ht="66" hidden="0" customHeight="1">
      <x:c r="B39" s="9" t="s">
        <x:v>143</x:v>
      </x:c>
      <x:c r="C39" s="10" t="s">
        <x:v>144</x:v>
      </x:c>
      <x:c r="D39" s="11" t="s">
        <x:v>145</x:v>
      </x:c>
      <x:c r="E39" s="12" t="str">
        <x:v>Backend, CMS e APIs previstos; tecnologia a definir.</x:v>
      </x:c>
      <x:c r="F39" s="13" t="s">
        <x:v>146</x:v>
      </x:c>
      <x:c r="G39" s="22" t="str">
        <x:v>GTM-02</x:v>
      </x:c>
      <x:c r="H39" s="22" t="str">
        <x:v>Parcial / a validar</x:v>
      </x:c>
    </x:row>
    <x:row r="40" ht="66" hidden="0" customHeight="1">
      <x:c r="B40" s="9" t="s">
        <x:v>147</x:v>
      </x:c>
      <x:c r="C40" s="10" t="s">
        <x:v>148</x:v>
      </x:c>
      <x:c r="D40" s="11" t="s">
        <x:v>149</x:v>
      </x:c>
      <x:c r="E40" s="12" t="str">
        <x:v>Banco e CMS estruturado previstos. Prisma citado como camada de mapa, sem contrato ou decisão técnica confirmada.</x:v>
      </x:c>
      <x:c r="F40" s="13" t="s">
        <x:v>150</x:v>
      </x:c>
      <x:c r="G40" s="22" t="str">
        <x:v>GTM-02;GTM-10</x:v>
      </x:c>
      <x:c r="H40" s="22" t="str">
        <x:v>Parcial / a validar</x:v>
      </x:c>
    </x:row>
    <x:row r="41" ht="66" hidden="0" customHeight="1">
      <x:c r="B41" s="9" t="s">
        <x:v>151</x:v>
      </x:c>
      <x:c r="C41" s="10" t="s">
        <x:v>152</x:v>
      </x:c>
      <x:c r="D41" s="11" t="s">
        <x:v>153</x:v>
      </x:c>
      <x:c r="E41" s="12" t="str">
        <x:v>Infraestrutura e hosting a definir; topologia recomendada mantém conteúdo público próximo ao domínio principal.</x:v>
      </x:c>
      <x:c r="F41" s="13" t="s">
        <x:v>154</x:v>
      </x:c>
      <x:c r="G41" s="22" t="str">
        <x:v>GTM-02</x:v>
      </x:c>
      <x:c r="H41" s="22" t="str">
        <x:v>Parcial / a validar</x:v>
      </x:c>
    </x:row>
    <x:row r="42" ht="66" hidden="0" customHeight="1">
      <x:c r="B42" s="9" t="s">
        <x:v>155</x:v>
      </x:c>
      <x:c r="C42" s="10" t="s">
        <x:v>156</x:v>
      </x:c>
      <x:c r="D42" s="11" t="s">
        <x:v>157</x:v>
      </x:c>
      <x:c r="E42" s="12" t="str">
        <x:v>Identidade citada; provedor e fluxos de autenticação a definir.</x:v>
      </x:c>
      <x:c r="F42" s="13" t="s">
        <x:v>158</x:v>
      </x:c>
      <x:c r="G42" s="22" t="str">
        <x:v>GTM-02</x:v>
      </x:c>
      <x:c r="H42" s="22" t="str">
        <x:v>Parcial / a validar</x:v>
      </x:c>
    </x:row>
    <x:row r="43" ht="66" hidden="0" customHeight="1">
      <x:c r="B43" s="9" t="s">
        <x:v>159</x:v>
      </x:c>
      <x:c r="C43" s="10" t="s">
        <x:v>160</x:v>
      </x:c>
      <x:c r="D43" s="11" t="s">
        <x:v>161</x:v>
      </x:c>
      <x:c r="E43" s="12" t="str">
        <x:v>Centros citados: LANCAMENTO (Store/schema), 01-Executar-Echo (Copiloto) e OPS-Maestro (orquestração). Não verificados externamente.</x:v>
      </x:c>
      <x:c r="F43" s="13" t="s">
        <x:v>162</x:v>
      </x:c>
      <x:c r="G43" s="22" t="str">
        <x:v>GTM-11;GTM-13;GTM-16</x:v>
      </x:c>
      <x:c r="H43" s="22" t="str">
        <x:v>Parcial / a validar</x:v>
      </x:c>
    </x:row>
    <x:row r="44" ht="66" hidden="0" customHeight="1">
      <x:c r="B44" s="9" t="s">
        <x:v>163</x:v>
      </x:c>
      <x:c r="C44" s="10" t="s">
        <x:v>164</x:v>
      </x:c>
      <x:c r="D44" s="11" t="s">
        <x:v>165</x:v>
      </x:c>
      <x:c r="E44" s="12" t="str">
        <x:v>Rotas funcionais: Blog, Store, Mapa, Quick Frameworks e Copiloto. URLs e rotas técnicas a definir.</x:v>
      </x:c>
      <x:c r="F44" s="13" t="s">
        <x:v>166</x:v>
      </x:c>
      <x:c r="G44" s="22" t="str">
        <x:v>GTM-08;GTM-16</x:v>
      </x:c>
      <x:c r="H44" s="22" t="str">
        <x:v>Parcial / a validar</x:v>
      </x:c>
    </x:row>
    <x:row r="45" ht="66" hidden="0" customHeight="1">
      <x:c r="B45" s="9" t="s">
        <x:v>167</x:v>
      </x:c>
      <x:c r="C45" s="10" t="s">
        <x:v>168</x:v>
      </x:c>
      <x:c r="D45" s="11" t="s">
        <x:v>169</x:v>
      </x:c>
      <x:c r="E45" s="12" t="str">
        <x:v>Proposta: schema canônico de objetos e relações, com Store, Mapa, Blog e Copiloto como profiles, views e consumidores.</x:v>
      </x:c>
      <x:c r="F45" s="13" t="s">
        <x:v>170</x:v>
      </x:c>
      <x:c r="G45" s="22" t="str">
        <x:v>GTM-09</x:v>
      </x:c>
      <x:c r="H45" s="22" t="str">
        <x:v>Proposta a validar</x:v>
      </x:c>
    </x:row>
    <x:row r="46" ht="66" hidden="0" customHeight="1">
      <x:c r="B46" s="9" t="s">
        <x:v>171</x:v>
      </x:c>
      <x:c r="C46" s="10" t="s">
        <x:v>172</x:v>
      </x:c>
      <x:c r="D46" s="11" t="s">
        <x:v>173</x:v>
      </x:c>
      <x:c r="E46" s="12" t="str">
        <x:v>Recomendação: aquisição e conteúdo público próximos ao domínio principal; subdomínios apenas para fronteiras técnicas reais.</x:v>
      </x:c>
      <x:c r="F46" s="13" t="s">
        <x:v>174</x:v>
      </x:c>
      <x:c r="G46" s="22" t="str">
        <x:v>GTM-02</x:v>
      </x:c>
      <x:c r="H46" s="22" t="str">
        <x:v>Parcial / a validar</x:v>
      </x:c>
    </x:row>
    <x:row r="47" ht="66" hidden="0" customHeight="1">
      <x:c r="B47" s="9" t="s">
        <x:v>175</x:v>
      </x:c>
      <x:c r="C47" s="10" t="s">
        <x:v>176</x:v>
      </x:c>
      <x:c r="D47" s="11" t="s">
        <x:v>177</x:v>
      </x:c>
      <x:c r="E47" s="12" t="str">
        <x:v>Preservar especialização sem duplicar conhecimento; matriz LEGACY_18 como compatibilidade. Aprovação do ADR pendente.</x:v>
      </x:c>
      <x:c r="F47" s="13" t="s">
        <x:v>178</x:v>
      </x:c>
      <x:c r="G47" s="22" t="str">
        <x:v>GTM-09</x:v>
      </x:c>
      <x:c r="H47" s="22" t="str">
        <x:v>Parcial / a validar</x:v>
      </x:c>
    </x:row>
    <x:row r="48">
      <x:c r="G48" s="22"/>
      <x:c r="H48" s="22"/>
    </x:row>
    <x:row r="49" ht="19.5" hidden="0" customHeight="1">
      <x:c r="B49" s="3" t="s">
        <x:v>179</x:v>
      </x:c>
      <x:c r="C49" s="3"/>
      <x:c r="D49" s="3"/>
      <x:c r="E49" s="3"/>
      <x:c r="F49" s="3"/>
      <x:c r="G49" s="22"/>
      <x:c r="H49" s="22"/>
    </x:row>
    <x:row r="50" ht="15.75" hidden="0" customHeight="1">
      <x:c r="B50" s="8" t="s">
        <x:v>180</x:v>
      </x:c>
      <x:c r="C50" s="8"/>
      <x:c r="D50" s="8"/>
      <x:c r="E50" s="8"/>
      <x:c r="F50" s="8"/>
      <x:c r="G50" s="22"/>
      <x:c r="H50" s="22"/>
    </x:row>
    <x:row r="51" ht="68" hidden="0" customHeight="1">
      <x:c r="B51" s="9" t="s">
        <x:v>181</x:v>
      </x:c>
      <x:c r="C51" s="10" t="s">
        <x:v>182</x:v>
      </x:c>
      <x:c r="D51" s="11" t="s">
        <x:v>183</x:v>
      </x:c>
      <x:c r="E51" s="12" t="str">
        <x:v>RC-UGS-001 com evolução proposta para Unified Object Schema v2: IDs imutáveis, proveniência, objetos tipados, relações, eventos e métricas. Distinto do JSON de 94 campos anexado.</x:v>
      </x:c>
      <x:c r="F51" s="13" t="s">
        <x:v>184</x:v>
      </x:c>
      <x:c r="G51" s="22" t="str">
        <x:v>GTM-09;GTM-13</x:v>
      </x:c>
      <x:c r="H51" s="22" t="str">
        <x:v>Parcial / a validar</x:v>
      </x:c>
    </x:row>
    <x:row r="52" ht="66" hidden="0" customHeight="1">
      <x:c r="B52" s="9" t="s">
        <x:v>185</x:v>
      </x:c>
      <x:c r="C52" s="10" t="s">
        <x:v>186</x:v>
      </x:c>
      <x:c r="D52" s="11" t="s">
        <x:v>187</x:v>
      </x:c>
      <x:c r="E52" s="12" t="str">
        <x:v>A definir. Fluxos conceituais existem; endpoints, métodos e contratos de API não constam no GTM.</x:v>
      </x:c>
      <x:c r="F52" s="13" t="s">
        <x:v>188</x:v>
      </x:c>
      <x:c r="G52" s="22" t="str">
        <x:v>GTM-16</x:v>
      </x:c>
      <x:c r="H52" s="22" t="str">
        <x:v>Parcial / a validar</x:v>
      </x:c>
    </x:row>
    <x:row r="53" ht="68" hidden="0" customHeight="1">
      <x:c r="B53" s="9" t="s">
        <x:v>189</x:v>
      </x:c>
      <x:c r="C53" s="10" t="s">
        <x:v>190</x:v>
      </x:c>
      <x:c r="D53" s="11" t="s">
        <x:v>191</x:v>
      </x:c>
      <x:c r="E53" s="12" t="str">
        <x:v>Copiloto OPS, Vera, especialista RC, OPS-Maestro, Video Maker, executar-block-quickframeworks e integração Copiloto × Store. Lista não comprova instalação.</x:v>
      </x:c>
      <x:c r="F53" s="13" t="s">
        <x:v>192</x:v>
      </x:c>
      <x:c r="G53" s="22" t="str">
        <x:v>GTM-07</x:v>
      </x:c>
      <x:c r="H53" s="22" t="str">
        <x:v>Parcial / a validar</x:v>
      </x:c>
    </x:row>
    <x:row r="54" ht="68" hidden="0" customHeight="1">
      <x:c r="B54" s="9" t="s">
        <x:v>193</x:v>
      </x:c>
      <x:c r="C54" s="10" t="s">
        <x:v>194</x:v>
      </x:c>
      <x:c r="D54" s="11" t="s">
        <x:v>195</x:v>
      </x:c>
      <x:c r="E54" s="12" t="str">
        <x:v>Três packs antes do lançamento; base técnica full stack, CMS, schema e contratos de integração. Sequência operacional proposta em 11_Plano_Projeto.</x:v>
      </x:c>
      <x:c r="F54" s="13" t="s">
        <x:v>196</x:v>
      </x:c>
      <x:c r="G54" s="22" t="str">
        <x:v>GTM-01;GTM-03;GTM-09</x:v>
      </x:c>
      <x:c r="H54" s="22" t="str">
        <x:v>Parcial / a validar</x:v>
      </x:c>
    </x:row>
    <x:row r="55" ht="66" hidden="0" customHeight="1">
      <x:c r="B55" s="9" t="s">
        <x:v>197</x:v>
      </x:c>
      <x:c r="C55" s="10" t="s">
        <x:v>198</x:v>
      </x:c>
      <x:c r="D55" s="11" t="s">
        <x:v>199</x:v>
      </x:c>
      <x:c r="E55" s="12" t="str">
        <x:v>Entry points citados: ActiveCampaign, distribuição, rotas manuais, Prisma e Notion; dependências condicionais a confirmar.</x:v>
      </x:c>
      <x:c r="F55" s="13" t="s">
        <x:v>200</x:v>
      </x:c>
      <x:c r="G55" s="22" t="str">
        <x:v>GTM-10</x:v>
      </x:c>
      <x:c r="H55" s="22" t="str">
        <x:v>Parcial / a validar</x:v>
      </x:c>
    </x:row>
    <x:row r="56" ht="66" hidden="0" customHeight="1">
      <x:c r="B56" s="9" t="s">
        <x:v>201</x:v>
      </x:c>
      <x:c r="C56" s="10" t="s">
        <x:v>202</x:v>
      </x:c>
      <x:c r="D56" s="11" t="s">
        <x:v>203</x:v>
      </x:c>
      <x:c r="E56" s="12" t="str">
        <x:v>Não informado no GTM. Definir antes da execução.</x:v>
      </x:c>
      <x:c r="F56" s="13" t="s">
        <x:v>204</x:v>
      </x:c>
      <x:c r="G56" s="22" t="str">
        <x:v>GTM-01;GTM-02</x:v>
      </x:c>
      <x:c r="H56" s="22" t="str">
        <x:v>Não informado</x:v>
      </x:c>
    </x:row>
    <x:row r="57" ht="68" hidden="0" customHeight="1">
      <x:c r="B57" s="9" t="s">
        <x:v>205</x:v>
      </x:c>
      <x:c r="C57" s="10" t="s">
        <x:v>206</x:v>
      </x:c>
      <x:c r="D57" s="11" t="s">
        <x:v>207</x:v>
      </x:c>
      <x:c r="E57" s="12" t="str">
        <x:v>Quick Framework Block: representação renderizável do conhecimento, com identidade, relações, evidências, CTA e apresentação. Ainda especificação.</x:v>
      </x:c>
      <x:c r="F57" s="13" t="s">
        <x:v>208</x:v>
      </x:c>
      <x:c r="G57" s="22" t="str">
        <x:v>GTM-15</x:v>
      </x:c>
      <x:c r="H57" s="22" t="str">
        <x:v>Documentado</x:v>
      </x:c>
    </x:row>
    <x:row r="58" ht="66" hidden="0" customHeight="1">
      <x:c r="B58" s="9" t="s">
        <x:v>209</x:v>
      </x:c>
      <x:c r="C58" s="10" t="s">
        <x:v>210</x:v>
      </x:c>
      <x:c r="D58" s="11" t="s">
        <x:v>211</x:v>
      </x:c>
      <x:c r="E58" s="12" t="str">
        <x:v>Verificação automatizada e contratos visuais citados; suíte e cobertura a definir. Gate factual exige Evidence_ID/Source_ID.</x:v>
      </x:c>
      <x:c r="F58" s="13" t="s">
        <x:v>212</x:v>
      </x:c>
      <x:c r="G58" s="22" t="str">
        <x:v>GTM-02;GTM-15</x:v>
      </x:c>
      <x:c r="H58" s="22" t="str">
        <x:v>Parcial / a validar</x:v>
      </x:c>
    </x:row>
    <x:row r="59">
      <x:c r="G59" s="22"/>
      <x:c r="H59" s="22"/>
    </x:row>
    <x:row r="60" ht="19.5" hidden="0" customHeight="1">
      <x:c r="B60" s="3" t="s">
        <x:v>213</x:v>
      </x:c>
      <x:c r="C60" s="3"/>
      <x:c r="D60" s="3"/>
      <x:c r="E60" s="3"/>
      <x:c r="F60" s="3"/>
      <x:c r="G60" s="22"/>
      <x:c r="H60" s="22"/>
    </x:row>
    <x:row r="61" ht="15.75" hidden="0" customHeight="1">
      <x:c r="B61" s="8" t="s">
        <x:v>214</x:v>
      </x:c>
      <x:c r="C61" s="8"/>
      <x:c r="D61" s="8"/>
      <x:c r="E61" s="8"/>
      <x:c r="F61" s="8"/>
      <x:c r="G61" s="22"/>
      <x:c r="H61" s="22"/>
    </x:row>
    <x:row r="62" ht="66" hidden="0" customHeight="1">
      <x:c r="B62" s="9" t="s">
        <x:v>215</x:v>
      </x:c>
      <x:c r="C62" s="10" t="s">
        <x:v>216</x:v>
      </x:c>
      <x:c r="D62" s="11" t="s">
        <x:v>217</x:v>
      </x:c>
      <x:c r="E62" s="12" t="str">
        <x:v>Não informado no GTM. Definir antes da execução.</x:v>
      </x:c>
      <x:c r="F62" s="13" t="s">
        <x:v>218</x:v>
      </x:c>
      <x:c r="G62" s="22" t="str">
        <x:v>GTM-01;GTM-02</x:v>
      </x:c>
      <x:c r="H62" s="22" t="str">
        <x:v>Não informado</x:v>
      </x:c>
    </x:row>
    <x:row r="63" ht="66" hidden="0" customHeight="1">
      <x:c r="B63" s="9" t="s">
        <x:v>219</x:v>
      </x:c>
      <x:c r="C63" s="10" t="s">
        <x:v>220</x:v>
      </x:c>
      <x:c r="D63" s="11" t="s">
        <x:v>221</x:v>
      </x:c>
      <x:c r="E63" s="12" t="str">
        <x:v>Não informado no GTM. Definir antes da execução.</x:v>
      </x:c>
      <x:c r="F63" s="13" t="s">
        <x:v>222</x:v>
      </x:c>
      <x:c r="G63" s="22" t="str">
        <x:v>GTM-01;GTM-02</x:v>
      </x:c>
      <x:c r="H63" s="22" t="str">
        <x:v>Não informado</x:v>
      </x:c>
    </x:row>
    <x:row r="64" ht="66" hidden="0" customHeight="1">
      <x:c r="B64" s="9" t="s">
        <x:v>223</x:v>
      </x:c>
      <x:c r="C64" s="10" t="s">
        <x:v>224</x:v>
      </x:c>
      <x:c r="D64" s="11" t="s">
        <x:v>225</x:v>
      </x:c>
      <x:c r="E64" s="12" t="str">
        <x:v>Não informado no GTM. Definir antes da execução.</x:v>
      </x:c>
      <x:c r="F64" s="13" t="s">
        <x:v>226</x:v>
      </x:c>
      <x:c r="G64" s="22" t="str">
        <x:v>GTM-01;GTM-02</x:v>
      </x:c>
      <x:c r="H64" s="22" t="str">
        <x:v>Não informado</x:v>
      </x:c>
    </x:row>
    <x:row r="65" ht="66" hidden="0" customHeight="1">
      <x:c r="B65" s="9" t="s">
        <x:v>227</x:v>
      </x:c>
      <x:c r="C65" s="10" t="s">
        <x:v>228</x:v>
      </x:c>
      <x:c r="D65" s="11" t="s">
        <x:v>229</x:v>
      </x:c>
      <x:c r="E65" s="12" t="str">
        <x:v>Não informado no GTM. Definir antes da execução.</x:v>
      </x:c>
      <x:c r="F65" s="13" t="s">
        <x:v>230</x:v>
      </x:c>
      <x:c r="G65" s="22" t="str">
        <x:v>GTM-01;GTM-02</x:v>
      </x:c>
      <x:c r="H65" s="22" t="str">
        <x:v>Não informado</x:v>
      </x:c>
    </x:row>
    <x:row r="66" ht="66" hidden="0" customHeight="1">
      <x:c r="B66" s="9" t="s">
        <x:v>231</x:v>
      </x:c>
      <x:c r="C66" s="10" t="s">
        <x:v>232</x:v>
      </x:c>
      <x:c r="D66" s="11" t="s">
        <x:v>233</x:v>
      </x:c>
      <x:c r="E66" s="12" t="str">
        <x:v>Não informado no GTM. Definir antes da execução.</x:v>
      </x:c>
      <x:c r="F66" s="13" t="s">
        <x:v>234</x:v>
      </x:c>
      <x:c r="G66" s="22" t="str">
        <x:v>GTM-01;GTM-02</x:v>
      </x:c>
      <x:c r="H66" s="22" t="str">
        <x:v>Não informado</x:v>
      </x:c>
    </x:row>
    <x:row r="67" ht="66" hidden="0" customHeight="1">
      <x:c r="B67" s="9" t="s">
        <x:v>235</x:v>
      </x:c>
      <x:c r="C67" s="10" t="s">
        <x:v>236</x:v>
      </x:c>
      <x:c r="D67" s="11" t="s">
        <x:v>237</x:v>
      </x:c>
      <x:c r="E67" s="12" t="str">
        <x:v>Não informado no GTM. Definir antes da execução.</x:v>
      </x:c>
      <x:c r="F67" s="13" t="s">
        <x:v>238</x:v>
      </x:c>
      <x:c r="G67" s="22" t="str">
        <x:v>GTM-01;GTM-02</x:v>
      </x:c>
      <x:c r="H67" s="22" t="str">
        <x:v>Não informado</x:v>
      </x:c>
    </x:row>
    <x:row r="68">
      <x:c r="G68" s="22"/>
      <x:c r="H68" s="22"/>
    </x:row>
    <x:row r="69" ht="19.5" hidden="0" customHeight="1">
      <x:c r="B69" s="3" t="s">
        <x:v>239</x:v>
      </x:c>
      <x:c r="C69" s="3"/>
      <x:c r="D69" s="3"/>
      <x:c r="E69" s="3"/>
      <x:c r="F69" s="3"/>
      <x:c r="G69" s="22"/>
      <x:c r="H69" s="22"/>
    </x:row>
    <x:row r="70" ht="15.75" hidden="0" customHeight="1">
      <x:c r="B70" s="8" t="s">
        <x:v>240</x:v>
      </x:c>
      <x:c r="C70" s="8"/>
      <x:c r="D70" s="8"/>
      <x:c r="E70" s="8"/>
      <x:c r="F70" s="8"/>
      <x:c r="G70" s="22"/>
      <x:c r="H70" s="22"/>
    </x:row>
    <x:row r="71" ht="66" hidden="0" customHeight="1">
      <x:c r="B71" s="9" t="s">
        <x:v>241</x:v>
      </x:c>
      <x:c r="C71" s="10" t="s">
        <x:v>242</x:v>
      </x:c>
      <x:c r="D71" s="11" t="s">
        <x:v>243</x:v>
      </x:c>
      <x:c r="E71" s="12" t="str">
        <x:v>Não informado no GTM. Definir antes da execução.</x:v>
      </x:c>
      <x:c r="F71" s="13" t="s">
        <x:v>244</x:v>
      </x:c>
      <x:c r="G71" s="22" t="str">
        <x:v>GTM-01;GTM-02</x:v>
      </x:c>
      <x:c r="H71" s="22" t="str">
        <x:v>Não informado</x:v>
      </x:c>
    </x:row>
    <x:row r="72" ht="66" hidden="0" customHeight="1">
      <x:c r="B72" s="9" t="s">
        <x:v>245</x:v>
      </x:c>
      <x:c r="C72" s="10" t="s">
        <x:v>246</x:v>
      </x:c>
      <x:c r="D72" s="11" t="s">
        <x:v>247</x:v>
      </x:c>
      <x:c r="E72" s="12" t="str">
        <x:v>Aprovações e governança previstas. Aprovador e condições de aprovação a definir.</x:v>
      </x:c>
      <x:c r="F72" s="13" t="s">
        <x:v>248</x:v>
      </x:c>
      <x:c r="G72" s="22" t="str">
        <x:v>GTM-02;GTM-17</x:v>
      </x:c>
      <x:c r="H72" s="22" t="str">
        <x:v>Parcial / a validar</x:v>
      </x:c>
    </x:row>
    <x:row r="73" ht="66" hidden="0" customHeight="1">
      <x:c r="B73" s="9" t="s">
        <x:v>249</x:v>
      </x:c>
      <x:c r="C73" s="10" t="s">
        <x:v>250</x:v>
      </x:c>
      <x:c r="D73" s="11" t="s">
        <x:v>251</x:v>
      </x:c>
      <x:c r="E73" s="12" t="str">
        <x:v>Não informado no GTM. Definir antes da execução.</x:v>
      </x:c>
      <x:c r="F73" s="13" t="s">
        <x:v>252</x:v>
      </x:c>
      <x:c r="G73" s="22" t="str">
        <x:v>GTM-01;GTM-02</x:v>
      </x:c>
      <x:c r="H73" s="22" t="str">
        <x:v>Não informado</x:v>
      </x:c>
    </x:row>
    <x:row r="74" ht="66" hidden="0" customHeight="1">
      <x:c r="B74" s="9" t="s">
        <x:v>253</x:v>
      </x:c>
      <x:c r="C74" s="10" t="s">
        <x:v>254</x:v>
      </x:c>
      <x:c r="D74" s="11" t="s">
        <x:v>255</x:v>
      </x:c>
      <x:c r="E74" s="12" t="str">
        <x:v>Não informado no GTM. Definir antes da execução.</x:v>
      </x:c>
      <x:c r="F74" s="13" t="s">
        <x:v>256</x:v>
      </x:c>
      <x:c r="G74" s="22" t="str">
        <x:v>GTM-01;GTM-02</x:v>
      </x:c>
      <x:c r="H74" s="22" t="str">
        <x:v>Não informado</x:v>
      </x:c>
    </x:row>
    <x:row r="75" ht="66" hidden="0" customHeight="1">
      <x:c r="B75" s="9" t="s">
        <x:v>257</x:v>
      </x:c>
      <x:c r="C75" s="10" t="s">
        <x:v>258</x:v>
      </x:c>
      <x:c r="D75" s="11" t="s">
        <x:v>259</x:v>
      </x:c>
      <x:c r="E75" s="12" t="str">
        <x:v>Riscos citados: código, arquitetura e engenharia. Ameaças específicas de segurança não detalhadas.</x:v>
      </x:c>
      <x:c r="F75" s="13" t="s">
        <x:v>260</x:v>
      </x:c>
      <x:c r="G75" s="22" t="str">
        <x:v>GTM-01</x:v>
      </x:c>
      <x:c r="H75" s="22" t="str">
        <x:v>Parcial / a validar</x:v>
      </x:c>
    </x:row>
    <x:row r="76" ht="66" hidden="0" customHeight="1">
      <x:c r="B76" s="9" t="s">
        <x:v>261</x:v>
      </x:c>
      <x:c r="C76" s="10" t="s">
        <x:v>262</x:v>
      </x:c>
      <x:c r="D76" s="11" t="s">
        <x:v>263</x:v>
      </x:c>
      <x:c r="E76" s="12" t="str">
        <x:v>Copiloto auxilia workflows e opera GitHub; OPS-Maestro orquestra contratos cross-repo. Limites de autonomia e permissões a definir.</x:v>
      </x:c>
      <x:c r="F76" s="13" t="s">
        <x:v>264</x:v>
      </x:c>
      <x:c r="G76" s="22" t="str">
        <x:v>GTM-01;GTM-16</x:v>
      </x:c>
      <x:c r="H76" s="22" t="str">
        <x:v>Parcial / a validar</x:v>
      </x:c>
    </x:row>
    <x:row r="77">
      <x:c r="G77" s="22"/>
      <x:c r="H77" s="22"/>
    </x:row>
    <x:row r="78" ht="19.5" hidden="0" customHeight="1">
      <x:c r="B78" s="3" t="s">
        <x:v>265</x:v>
      </x:c>
      <x:c r="C78" s="3"/>
      <x:c r="D78" s="3"/>
      <x:c r="E78" s="3"/>
      <x:c r="F78" s="3"/>
      <x:c r="G78" s="22"/>
      <x:c r="H78" s="22"/>
    </x:row>
    <x:row r="79" ht="15.75" hidden="0" customHeight="1">
      <x:c r="B79" s="8" t="s">
        <x:v>266</x:v>
      </x:c>
      <x:c r="C79" s="8"/>
      <x:c r="D79" s="8"/>
      <x:c r="E79" s="8"/>
      <x:c r="F79" s="8"/>
      <x:c r="G79" s="22"/>
      <x:c r="H79" s="22"/>
    </x:row>
    <x:row r="80" ht="66" hidden="0" customHeight="1">
      <x:c r="B80" s="9" t="s">
        <x:v>267</x:v>
      </x:c>
      <x:c r="C80" s="10" t="s">
        <x:v>268</x:v>
      </x:c>
      <x:c r="D80" s="11" t="s">
        <x:v>269</x:v>
      </x:c>
      <x:c r="E80" s="12" t="str">
        <x:v>GTM menciona README_AI.md do corpus, mas o arquivo não foi anexado; existência no repositório não verificada.</x:v>
      </x:c>
      <x:c r="F80" s="13" t="s">
        <x:v>270</x:v>
      </x:c>
      <x:c r="G80" s="22" t="str">
        <x:v>GTM-02</x:v>
      </x:c>
      <x:c r="H80" s="22" t="str">
        <x:v>Parcial / a validar</x:v>
      </x:c>
    </x:row>
    <x:row r="81" ht="66" hidden="0" customHeight="1">
      <x:c r="B81" s="9" t="s">
        <x:v>271</x:v>
      </x:c>
      <x:c r="C81" s="10" t="s">
        <x:v>272</x:v>
      </x:c>
      <x:c r="D81" s="11" t="s">
        <x:v>273</x:v>
      </x:c>
      <x:c r="E81" s="12" t="str">
        <x:v>ADRs por área citados; decisões do schema e topologia descritas. Arquivos externos pendentes de consulta.</x:v>
      </x:c>
      <x:c r="F81" s="13" t="s">
        <x:v>274</x:v>
      </x:c>
      <x:c r="G81" s="22" t="str">
        <x:v>GTM-02;GTM-09</x:v>
      </x:c>
      <x:c r="H81" s="22" t="str">
        <x:v>Parcial / a validar</x:v>
      </x:c>
    </x:row>
    <x:row r="82" ht="66" hidden="0" customHeight="1">
      <x:c r="B82" s="9" t="s">
        <x:v>275</x:v>
      </x:c>
      <x:c r="C82" s="10" t="s">
        <x:v>276</x:v>
      </x:c>
      <x:c r="D82" s="11" t="s">
        <x:v>277</x:v>
      </x:c>
      <x:c r="E82" s="12" t="str">
        <x:v>A definir. Documentação de API não fornecida.</x:v>
      </x:c>
      <x:c r="F82" s="13" t="s">
        <x:v>278</x:v>
      </x:c>
      <x:c r="G82" s="22" t="str">
        <x:v>GTM-02</x:v>
      </x:c>
      <x:c r="H82" s="22" t="str">
        <x:v>Parcial / a validar</x:v>
      </x:c>
    </x:row>
    <x:row r="83" ht="66" hidden="0" customHeight="1">
      <x:c r="B83" s="9" t="s">
        <x:v>279</x:v>
      </x:c>
      <x:c r="C83" s="10" t="s">
        <x:v>280</x:v>
      </x:c>
      <x:c r="D83" s="11" t="s">
        <x:v>281</x:v>
      </x:c>
      <x:c r="E83" s="12" t="str">
        <x:v>A definir. Guia de onboarding não fornecido.</x:v>
      </x:c>
      <x:c r="F83" s="13" t="s">
        <x:v>282</x:v>
      </x:c>
      <x:c r="G83" s="22" t="str">
        <x:v>GTM-18</x:v>
      </x:c>
      <x:c r="H83" s="22" t="str">
        <x:v>Parcial / a validar</x:v>
      </x:c>
    </x:row>
    <x:row r="84" ht="66" hidden="0" customHeight="1">
      <x:c r="B84" s="9" t="s">
        <x:v>283</x:v>
      </x:c>
      <x:c r="C84" s="10" t="s">
        <x:v>284</x:v>
      </x:c>
      <x:c r="D84" s="11" t="s">
        <x:v>285</x:v>
      </x:c>
      <x:c r="E84" s="12" t="str">
        <x:v>Inventário nominal de sete agentes/capacidades no GTM. Catálogo de capacidades e limites precisa ser consolidado.</x:v>
      </x:c>
      <x:c r="F84" s="13" t="s">
        <x:v>286</x:v>
      </x:c>
      <x:c r="G84" s="22" t="str">
        <x:v>GTM-07</x:v>
      </x:c>
      <x:c r="H84" s="22" t="str">
        <x:v>Documentado</x:v>
      </x:c>
    </x:row>
    <x:row r="85">
      <x:c r="G85" s="22"/>
      <x:c r="H85" s="22"/>
    </x:row>
    <x:row r="86" ht="19.5" hidden="0" customHeight="1">
      <x:c r="B86" s="3" t="s">
        <x:v>287</x:v>
      </x:c>
      <x:c r="C86" s="3"/>
      <x:c r="D86" s="3"/>
      <x:c r="E86" s="3"/>
      <x:c r="F86" s="3"/>
      <x:c r="G86" s="22"/>
      <x:c r="H86" s="22"/>
    </x:row>
    <x:row r="87" ht="15.75" hidden="0" customHeight="1">
      <x:c r="B87" s="8" t="s">
        <x:v>288</x:v>
      </x:c>
      <x:c r="C87" s="8"/>
      <x:c r="D87" s="8"/>
      <x:c r="E87" s="8"/>
      <x:c r="F87" s="8"/>
      <x:c r="G87" s="22"/>
      <x:c r="H87" s="22"/>
    </x:row>
    <x:row r="88" ht="66" hidden="0" customHeight="1">
      <x:c r="B88" s="9" t="s">
        <x:v>289</x:v>
      </x:c>
      <x:c r="C88" s="10" t="s">
        <x:v>290</x:v>
      </x:c>
      <x:c r="D88" s="11" t="s">
        <x:v>291</x:v>
      </x:c>
      <x:c r="E88" s="12" t="str">
        <x:v>Tema pouco explorado e demanda por métodos, conhecimento e ferramentas para trabalhadores neurodivergentes.</x:v>
      </x:c>
      <x:c r="F88" s="13" t="s">
        <x:v>292</x:v>
      </x:c>
      <x:c r="G88" s="22" t="str">
        <x:v>GTM-01</x:v>
      </x:c>
      <x:c r="H88" s="22" t="str">
        <x:v>Documentado</x:v>
      </x:c>
    </x:row>
    <x:row r="89" ht="66" hidden="0" customHeight="1">
      <x:c r="B89" s="9" t="s">
        <x:v>293</x:v>
      </x:c>
      <x:c r="C89" s="10" t="s">
        <x:v>294</x:v>
      </x:c>
      <x:c r="D89" s="11" t="s">
        <x:v>295</x:v>
      </x:c>
      <x:c r="E89" s="12" t="str">
        <x:v>Não informado no GTM. Definir antes da execução.</x:v>
      </x:c>
      <x:c r="F89" s="13" t="s">
        <x:v>296</x:v>
      </x:c>
      <x:c r="G89" s="22" t="str">
        <x:v>GTM-01;GTM-02</x:v>
      </x:c>
      <x:c r="H89" s="22" t="str">
        <x:v>Não informado</x:v>
      </x:c>
    </x:row>
    <x:row r="90" ht="66" hidden="0" customHeight="1">
      <x:c r="B90" s="9" t="s">
        <x:v>297</x:v>
      </x:c>
      <x:c r="C90" s="10" t="s">
        <x:v>298</x:v>
      </x:c>
      <x:c r="D90" s="11" t="s">
        <x:v>299</x:v>
      </x:c>
      <x:c r="E90" s="12" t="str">
        <x:v>Validar interesse, utilidade, compartilhamento, adoção e demanda. Metas numéricas de resultado a definir.</x:v>
      </x:c>
      <x:c r="F90" s="13" t="s">
        <x:v>300</x:v>
      </x:c>
      <x:c r="G90" s="22" t="str">
        <x:v>GTM-01</x:v>
      </x:c>
      <x:c r="H90" s="22" t="str">
        <x:v>Parcial / a validar</x:v>
      </x:c>
    </x:row>
    <x:row r="91" ht="66" hidden="0" customHeight="1">
      <x:c r="B91" s="9" t="s">
        <x:v>301</x:v>
      </x:c>
      <x:c r="C91" s="10" t="s">
        <x:v>302</x:v>
      </x:c>
      <x:c r="D91" s="11" t="s">
        <x:v>303</x:v>
      </x:c>
      <x:c r="E91" s="12" t="str">
        <x:v>A definir. Nenhuma decisão Go/No-Go comprovada; gates propostos no plano.</x:v>
      </x:c>
      <x:c r="F91" s="13" t="s">
        <x:v>304</x:v>
      </x:c>
      <x:c r="G91" s="22" t="str">
        <x:v>GTM-01</x:v>
      </x:c>
      <x:c r="H91" s="22" t="str">
        <x:v>Parcial / a validar</x:v>
      </x:c>
    </x:row>
    <x:row r="92" ht="66" hidden="0" customHeight="1">
      <x:c r="B92" s="9" t="s">
        <x:v>305</x:v>
      </x:c>
      <x:c r="C92" s="10" t="s">
        <x:v>306</x:v>
      </x:c>
      <x:c r="D92" s="11" t="s">
        <x:v>307</x:v>
      </x:c>
      <x:c r="E92" s="12" t="str">
        <x:v>Creator-Led Business + Creator-Led Growth; pesquisa, peça-mãe, derivação, distribuição, medição e aprendizado.</x:v>
      </x:c>
      <x:c r="F92" s="13" t="s">
        <x:v>308</x:v>
      </x:c>
      <x:c r="G92" s="22" t="str">
        <x:v>GTM-04</x:v>
      </x:c>
      <x:c r="H92" s="22" t="str">
        <x:v>Documentado</x:v>
      </x:c>
    </x:row>
    <x:row r="93">
      <x:c r="G93" s="22"/>
      <x:c r="H93" s="22"/>
    </x:row>
    <x:row r="94" ht="19.5" hidden="0" customHeight="1">
      <x:c r="B94" s="3" t="s">
        <x:v>309</x:v>
      </x:c>
      <x:c r="C94" s="3"/>
      <x:c r="D94" s="3"/>
      <x:c r="E94" s="3"/>
      <x:c r="F94" s="3"/>
      <x:c r="G94" s="22"/>
      <x:c r="H94" s="22"/>
    </x:row>
    <x:row r="95" ht="15.75" hidden="0" customHeight="1">
      <x:c r="B95" s="8" t="s">
        <x:v>310</x:v>
      </x:c>
      <x:c r="C95" s="8"/>
      <x:c r="D95" s="8"/>
      <x:c r="E95" s="8"/>
      <x:c r="F95" s="8"/>
      <x:c r="G95" s="22"/>
      <x:c r="H95" s="22"/>
    </x:row>
    <x:row r="96" ht="66" hidden="0" customHeight="1">
      <x:c r="B96" s="9" t="s">
        <x:v>311</x:v>
      </x:c>
      <x:c r="C96" s="10" t="s">
        <x:v>312</x:v>
      </x:c>
      <x:c r="D96" s="11" t="s">
        <x:v>313</x:v>
      </x:c>
      <x:c r="E96" s="12" t="str">
        <x:v>Apoiar validação e adoção de Executar App, serviços, marketplace, comunidade/ONG e Schola.ai. Horizonte temporal não informado.</x:v>
      </x:c>
      <x:c r="F96" s="13" t="s">
        <x:v>314</x:v>
      </x:c>
      <x:c r="G96" s="22" t="str">
        <x:v>GTM-01</x:v>
      </x:c>
      <x:c r="H96" s="22" t="str">
        <x:v>Parcial / a validar</x:v>
      </x:c>
    </x:row>
    <x:row r="97" ht="66" hidden="0" customHeight="1">
      <x:c r="B97" s="9" t="s">
        <x:v>315</x:v>
      </x:c>
      <x:c r="C97" s="10" t="s">
        <x:v>316</x:v>
      </x:c>
      <x:c r="D97" s="11" t="s">
        <x:v>317</x:v>
      </x:c>
      <x:c r="E97" s="12" t="str">
        <x:v>Preparar banco de conteúdo com três packs e fundação técnica para lançamento.</x:v>
      </x:c>
      <x:c r="F97" s="13" t="s">
        <x:v>318</x:v>
      </x:c>
      <x:c r="G97" s="22" t="str">
        <x:v>GTM-01;GTM-03</x:v>
      </x:c>
      <x:c r="H97" s="22" t="str">
        <x:v>Documentado</x:v>
      </x:c>
    </x:row>
    <x:row r="98" ht="66" hidden="0" customHeight="1">
      <x:c r="B98" s="9" t="s">
        <x:v>319</x:v>
      </x:c>
      <x:c r="C98" s="10" t="s">
        <x:v>320</x:v>
      </x:c>
      <x:c r="D98" s="11" t="s">
        <x:v>321</x:v>
      </x:c>
      <x:c r="E98" s="12" t="str">
        <x:v>Proposta: resolver duração dos packs, escopo de lançamento, responsáveis e contratos canônicos antes de datar o cronograma.</x:v>
      </x:c>
      <x:c r="F98" s="13" t="s">
        <x:v>322</x:v>
      </x:c>
      <x:c r="G98" s="22" t="str">
        <x:v>GTM-03;GTM-09</x:v>
      </x:c>
      <x:c r="H98" s="22" t="str">
        <x:v>Proposta a validar</x:v>
      </x:c>
    </x:row>
    <x:row r="99" ht="66" hidden="0" customHeight="1">
      <x:c r="B99" s="9" t="s">
        <x:v>323</x:v>
      </x:c>
      <x:c r="C99" s="10" t="s">
        <x:v>324</x:v>
      </x:c>
      <x:c r="D99" s="11" t="s">
        <x:v>325</x:v>
      </x:c>
      <x:c r="E99" s="12" t="str">
        <x:v>Conteúdo valida demanda; três packs e fundação suportam lançamento; dados de uso alimentam aprendizado e evolução do ecossistema.</x:v>
      </x:c>
      <x:c r="F99" s="13" t="s">
        <x:v>326</x:v>
      </x:c>
      <x:c r="G99" s="22" t="str">
        <x:v>GTM-01;GTM-04</x:v>
      </x:c>
      <x:c r="H99" s="22" t="str">
        <x:v>Documentado</x:v>
      </x:c>
    </x:row>
    <x:row r="100">
      <x:c r="G100" s="22"/>
      <x:c r="H100" s="22"/>
    </x:row>
    <x:row r="101" ht="19.5" hidden="0" customHeight="1">
      <x:c r="B101" s="3" t="s">
        <x:v>327</x:v>
      </x:c>
      <x:c r="C101" s="3"/>
      <x:c r="D101" s="3"/>
      <x:c r="E101" s="3"/>
      <x:c r="F101" s="3"/>
      <x:c r="G101" s="22"/>
      <x:c r="H101" s="22"/>
    </x:row>
    <x:row r="102" ht="15.75" hidden="0" customHeight="1">
      <x:c r="B102" s="8" t="s">
        <x:v>328</x:v>
      </x:c>
      <x:c r="C102" s="8"/>
      <x:c r="D102" s="8"/>
      <x:c r="E102" s="8"/>
      <x:c r="F102" s="8"/>
      <x:c r="G102" s="22"/>
      <x:c r="H102" s="22"/>
    </x:row>
    <x:row r="103" ht="66" hidden="0" customHeight="1">
      <x:c r="B103" s="9" t="s">
        <x:v>329</x:v>
      </x:c>
      <x:c r="C103" s="10" t="s">
        <x:v>330</x:v>
      </x:c>
      <x:c r="D103" s="11" t="s">
        <x:v>331</x:v>
      </x:c>
      <x:c r="E103" s="12" t="str">
        <x:v>Banco de três packs pronto para lançamento; cronograma pendente de conciliar 17 dias/pack e 15 dias/ciclo.</x:v>
      </x:c>
      <x:c r="F103" s="13" t="s">
        <x:v>332</x:v>
      </x:c>
      <x:c r="G103" s="22" t="str">
        <x:v>GTM-03</x:v>
      </x:c>
      <x:c r="H103" s="22" t="str">
        <x:v>Parcial / a validar</x:v>
      </x:c>
    </x:row>
    <x:row r="104" ht="66" hidden="0" customHeight="1">
      <x:c r="B104" s="9" t="s">
        <x:v>333</x:v>
      </x:c>
      <x:c r="C104" s="10" t="s">
        <x:v>334</x:v>
      </x:c>
      <x:c r="D104" s="11" t="s">
        <x:v>335</x:v>
      </x:c>
      <x:c r="E104" s="12" t="str">
        <x:v>A definir. Ciclo corrente e datas de início/fim não informados.</x:v>
      </x:c>
      <x:c r="F104" s="13" t="s">
        <x:v>336</x:v>
      </x:c>
      <x:c r="G104" s="22" t="str">
        <x:v>GTM-03</x:v>
      </x:c>
      <x:c r="H104" s="22" t="str">
        <x:v>Parcial / a validar</x:v>
      </x:c>
    </x:row>
    <x:row r="105" ht="66" hidden="0" customHeight="1">
      <x:c r="B105" s="9" t="s">
        <x:v>337</x:v>
      </x:c>
      <x:c r="C105" s="10" t="s">
        <x:v>338</x:v>
      </x:c>
      <x:c r="D105" s="11" t="s">
        <x:v>339</x:v>
      </x:c>
      <x:c r="E105" s="12" t="str">
        <x:v>Proposta: formalizar schema canônico e contratos entre Blog, Store e Copiloto; resolver lacunas de planejamento.</x:v>
      </x:c>
      <x:c r="F105" s="13" t="s">
        <x:v>340</x:v>
      </x:c>
      <x:c r="G105" s="22" t="str">
        <x:v>GTM-09;GTM-16</x:v>
      </x:c>
      <x:c r="H105" s="22" t="str">
        <x:v>Proposta a validar</x:v>
      </x:c>
    </x:row>
    <x:row r="106" ht="66" hidden="0" customHeight="1">
      <x:c r="B106" s="9" t="s">
        <x:v>341</x:v>
      </x:c>
      <x:c r="C106" s="10" t="s">
        <x:v>342</x:v>
      </x:c>
      <x:c r="D106" s="11" t="s">
        <x:v>343</x:v>
      </x:c>
      <x:c r="E106" s="12" t="str">
        <x:v>Medição e aprendizado por ciclo. Duração divergente: 15 versus 17 dias.</x:v>
      </x:c>
      <x:c r="F106" s="13" t="s">
        <x:v>344</x:v>
      </x:c>
      <x:c r="G106" s="22" t="str">
        <x:v>GTM-03;GTM-04</x:v>
      </x:c>
      <x:c r="H106" s="22" t="str">
        <x:v>Parcial / a validar</x:v>
      </x:c>
    </x:row>
    <x:row r="107">
      <x:c r="G107" s="22"/>
      <x:c r="H107" s="22"/>
    </x:row>
    <x:row r="108" ht="19.5" hidden="0" customHeight="1">
      <x:c r="B108" s="3" t="s">
        <x:v>345</x:v>
      </x:c>
      <x:c r="C108" s="3"/>
      <x:c r="D108" s="3"/>
      <x:c r="E108" s="3"/>
      <x:c r="F108" s="3"/>
      <x:c r="G108" s="22"/>
      <x:c r="H108" s="22"/>
    </x:row>
    <x:row r="109" ht="15.75" hidden="0" customHeight="1">
      <x:c r="B109" s="8" t="s">
        <x:v>346</x:v>
      </x:c>
      <x:c r="C109" s="8"/>
      <x:c r="D109" s="8"/>
      <x:c r="E109" s="8"/>
      <x:c r="F109" s="8"/>
      <x:c r="G109" s="22"/>
      <x:c r="H109" s="22"/>
    </x:row>
    <x:row r="110" ht="66" hidden="0" customHeight="1">
      <x:c r="B110" s="9" t="s">
        <x:v>347</x:v>
      </x:c>
      <x:c r="C110" s="10" t="s">
        <x:v>348</x:v>
      </x:c>
      <x:c r="D110" s="11" t="s">
        <x:v>349</x:v>
      </x:c>
      <x:c r="E110" s="12" t="str">
        <x:v>Riscos Cognitivos (problema), Processos Neuroadaptativos (método), Ferramentas e Soluções (aplicação).</x:v>
      </x:c>
      <x:c r="F110" s="13" t="s">
        <x:v>350</x:v>
      </x:c>
      <x:c r="G110" s="22" t="str">
        <x:v>GTM-01</x:v>
      </x:c>
      <x:c r="H110" s="22" t="str">
        <x:v>Documentado</x:v>
      </x:c>
    </x:row>
    <x:row r="111" ht="66" hidden="0" customHeight="1">
      <x:c r="B111" s="9" t="s">
        <x:v>351</x:v>
      </x:c>
      <x:c r="C111" s="10" t="s">
        <x:v>352</x:v>
      </x:c>
      <x:c r="D111" s="11" t="s">
        <x:v>353</x:v>
      </x:c>
      <x:c r="E111" s="12" t="str">
        <x:v>Três packs em linha; datas, temas e canais de cada publicação a definir. Cada ciclo entrega artigo e vídeo-mãe com derivados.</x:v>
      </x:c>
      <x:c r="F111" s="13" t="s">
        <x:v>354</x:v>
      </x:c>
      <x:c r="G111" s="22" t="str">
        <x:v>GTM-03;GTM-05</x:v>
      </x:c>
      <x:c r="H111" s="22" t="str">
        <x:v>Parcial / a validar</x:v>
      </x:c>
    </x:row>
    <x:row r="112" ht="66" hidden="0" customHeight="1">
      <x:c r="B112" s="9" t="s">
        <x:v>355</x:v>
      </x:c>
      <x:c r="C112" s="10" t="s">
        <x:v>356</x:v>
      </x:c>
      <x:c r="D112" s="11" t="s">
        <x:v>357</x:v>
      </x:c>
      <x:c r="E112" s="12" t="str">
        <x:v>Lançamento Blog Risco Cognitivo. Execução e publicações ainda não comprovadas.</x:v>
      </x:c>
      <x:c r="F112" s="13" t="s">
        <x:v>358</x:v>
      </x:c>
      <x:c r="G112" s="22" t="str">
        <x:v>GTM-01</x:v>
      </x:c>
      <x:c r="H112" s="22" t="str">
        <x:v>Parcial / a validar</x:v>
      </x:c>
    </x:row>
    <x:row r="113" ht="66" hidden="0" customHeight="1">
      <x:c r="B113" s="9" t="s">
        <x:v>359</x:v>
      </x:c>
      <x:c r="C113" s="10" t="s">
        <x:v>360</x:v>
      </x:c>
      <x:c r="D113" s="11" t="s">
        <x:v>361</x:v>
      </x:c>
      <x:c r="E113" s="12" t="str">
        <x:v>Problema → Método → Aplicação; pilares e níveis de consciência são dimensões independentes.</x:v>
      </x:c>
      <x:c r="F113" s="13" t="s">
        <x:v>362</x:v>
      </x:c>
      <x:c r="G113" s="22" t="str">
        <x:v>GTM-01;GTM-02</x:v>
      </x:c>
      <x:c r="H113" s="22" t="str">
        <x:v>Parcial / a validar</x:v>
      </x:c>
    </x:row>
    <x:row r="114">
      <x:c r="G114" s="22"/>
      <x:c r="H114" s="22"/>
    </x:row>
    <x:row r="115" ht="19.5" hidden="0" customHeight="1">
      <x:c r="B115" s="3" t="s">
        <x:v>363</x:v>
      </x:c>
      <x:c r="C115" s="3"/>
      <x:c r="D115" s="3"/>
      <x:c r="E115" s="3"/>
      <x:c r="F115" s="3"/>
      <x:c r="G115" s="22"/>
      <x:c r="H115" s="22"/>
    </x:row>
    <x:row r="116" ht="15.75" hidden="0" customHeight="1">
      <x:c r="B116" s="8" t="s">
        <x:v>364</x:v>
      </x:c>
      <x:c r="C116" s="8"/>
      <x:c r="D116" s="8"/>
      <x:c r="E116" s="8"/>
      <x:c r="F116" s="8"/>
      <x:c r="G116" s="22"/>
      <x:c r="H116" s="22"/>
    </x:row>
    <x:row r="117" ht="66" hidden="0" customHeight="1">
      <x:c r="B117" s="9" t="s">
        <x:v>365</x:v>
      </x:c>
      <x:c r="C117" s="10" t="s">
        <x:v>366</x:v>
      </x:c>
      <x:c r="D117" s="11" t="s">
        <x:v>367</x:v>
      </x:c>
      <x:c r="E117" s="12" t="str">
        <x:v>Usuário final neurodivergente, Creator, Oficina e agentes. Pessoas responsáveis e sponsor não identificados.</x:v>
      </x:c>
      <x:c r="F117" s="13" t="s">
        <x:v>368</x:v>
      </x:c>
      <x:c r="G117" s="22" t="str">
        <x:v>GTM-01;GTM-11</x:v>
      </x:c>
      <x:c r="H117" s="22" t="str">
        <x:v>Parcial / a validar</x:v>
      </x:c>
    </x:row>
    <x:row r="118" ht="66" hidden="0" customHeight="1">
      <x:c r="B118" s="9" t="s">
        <x:v>369</x:v>
      </x:c>
      <x:c r="C118" s="10" t="s">
        <x:v>370</x:v>
      </x:c>
      <x:c r="D118" s="11" t="s">
        <x:v>371</x:v>
      </x:c>
      <x:c r="E118" s="12" t="str">
        <x:v>GitHub como fonte operacional; newsletter, comunidades e canais diretos para relacionamento.</x:v>
      </x:c>
      <x:c r="F118" s="13" t="s">
        <x:v>372</x:v>
      </x:c>
      <x:c r="G118" s="22" t="str">
        <x:v>GTM-01;GTM-04</x:v>
      </x:c>
      <x:c r="H118" s="22" t="str">
        <x:v>Documentado</x:v>
      </x:c>
    </x:row>
    <x:row r="119" ht="66" hidden="0" customHeight="1">
      <x:c r="B119" s="9" t="s">
        <x:v>373</x:v>
      </x:c>
      <x:c r="C119" s="10" t="s">
        <x:v>374</x:v>
      </x:c>
      <x:c r="D119" s="11" t="s">
        <x:v>375</x:v>
      </x:c>
      <x:c r="E119" s="12" t="str">
        <x:v>Pendências: duração 15/17 dias, divergência dos códigos F5–F7 e fronteira entre componentes canônicos e propostas.</x:v>
      </x:c>
      <x:c r="F119" s="13" t="s">
        <x:v>376</x:v>
      </x:c>
      <x:c r="G119" s="22" t="str">
        <x:v>GTM-01;GTM-03;GTM-09;GTM-10</x:v>
      </x:c>
      <x:c r="H119" s="22" t="str">
        <x:v>Parcial / a validar</x:v>
      </x:c>
    </x:row>
    <x:row r="120">
      <x:c r="G120" s="22"/>
      <x:c r="H120" s="22"/>
    </x:row>
    <x:row r="121" ht="19.5" hidden="0" customHeight="1">
      <x:c r="B121" s="3" t="s">
        <x:v>377</x:v>
      </x:c>
      <x:c r="C121" s="3"/>
      <x:c r="D121" s="3"/>
      <x:c r="E121" s="3"/>
      <x:c r="F121" s="3"/>
      <x:c r="G121" s="22"/>
      <x:c r="H121" s="22"/>
    </x:row>
    <x:row r="122" ht="15.75" hidden="0" customHeight="1">
      <x:c r="B122" s="8" t="s">
        <x:v>378</x:v>
      </x:c>
      <x:c r="C122" s="8"/>
      <x:c r="D122" s="8"/>
      <x:c r="E122" s="8"/>
      <x:c r="F122" s="8"/>
      <x:c r="G122" s="22"/>
      <x:c r="H122" s="22"/>
    </x:row>
    <x:row r="123" ht="66" hidden="0" customHeight="1">
      <x:c r="B123" s="9" t="s">
        <x:v>379</x:v>
      </x:c>
      <x:c r="C123" s="10" t="s">
        <x:v>380</x:v>
      </x:c>
      <x:c r="D123" s="11" t="s">
        <x:v>381</x:v>
      </x:c>
      <x:c r="E123" s="12" t="str">
        <x:v>Runbook de campanha TP001 citado; produção: pesquisa → peça-mãe → derivação → adaptação → distribuição → medição → aprendizado.</x:v>
      </x:c>
      <x:c r="F123" s="13" t="s">
        <x:v>382</x:v>
      </x:c>
      <x:c r="G123" s="22" t="str">
        <x:v>GTM-01;GTM-04</x:v>
      </x:c>
      <x:c r="H123" s="22" t="str">
        <x:v>Parcial / a validar</x:v>
      </x:c>
    </x:row>
    <x:row r="124" ht="66" hidden="0" customHeight="1">
      <x:c r="B124" s="9" t="s">
        <x:v>383</x:v>
      </x:c>
      <x:c r="C124" s="10" t="s">
        <x:v>384</x:v>
      </x:c>
      <x:c r="D124" s="11" t="s">
        <x:v>385</x:v>
      </x:c>
      <x:c r="E124" s="12" t="str">
        <x:v>Copiloto operacional apoia Creator; responsável humano por rotina a definir.</x:v>
      </x:c>
      <x:c r="F124" s="13" t="s">
        <x:v>386</x:v>
      </x:c>
      <x:c r="G124" s="22" t="str">
        <x:v>GTM-01</x:v>
      </x:c>
      <x:c r="H124" s="22" t="str">
        <x:v>Parcial / a validar</x:v>
      </x:c>
    </x:row>
    <x:row r="125" ht="66" hidden="0" customHeight="1">
      <x:c r="B125" s="9" t="s">
        <x:v>387</x:v>
      </x:c>
      <x:c r="C125" s="10" t="s">
        <x:v>388</x:v>
      </x:c>
      <x:c r="D125" s="11" t="s">
        <x:v>389</x:v>
      </x:c>
      <x:c r="E125" s="12" t="str">
        <x:v>Process Doc e BPM/Qualidade citados, mas não anexados integralmente. Não comprovado como SOP vigente.</x:v>
      </x:c>
      <x:c r="F125" s="13" t="s">
        <x:v>390</x:v>
      </x:c>
      <x:c r="G125" s="22" t="str">
        <x:v>GTM-01</x:v>
      </x:c>
      <x:c r="H125" s="22" t="str">
        <x:v>Parcial / a validar</x:v>
      </x:c>
    </x:row>
    <x:row r="126">
      <x:c r="G126" s="22"/>
      <x:c r="H126" s="22"/>
    </x:row>
    <x:row r="127" ht="19.5" hidden="0" customHeight="1">
      <x:c r="B127" s="3" t="s">
        <x:v>391</x:v>
      </x:c>
      <x:c r="C127" s="3"/>
      <x:c r="D127" s="3"/>
      <x:c r="E127" s="3"/>
      <x:c r="F127" s="3"/>
      <x:c r="G127" s="22"/>
      <x:c r="H127" s="22"/>
    </x:row>
    <x:row r="128" ht="15.75" hidden="0" customHeight="1">
      <x:c r="B128" s="8" t="s">
        <x:v>392</x:v>
      </x:c>
      <x:c r="C128" s="8"/>
      <x:c r="D128" s="8"/>
      <x:c r="E128" s="8"/>
      <x:c r="F128" s="8"/>
      <x:c r="G128" s="22"/>
      <x:c r="H128" s="22"/>
    </x:row>
    <x:row r="129" ht="66" hidden="0" customHeight="1">
      <x:c r="B129" s="9" t="s">
        <x:v>393</x:v>
      </x:c>
      <x:c r="C129" s="10" t="s">
        <x:v>394</x:v>
      </x:c>
      <x:c r="D129" s="11" t="s">
        <x:v>395</x:v>
      </x:c>
      <x:c r="E129" s="12" t="str">
        <x:v>GTM fornecido; menciona corpus AIKB-0001–0016 e índice Knowledge Master. Conteúdo desses anexos não disponível nesta atualização.</x:v>
      </x:c>
      <x:c r="F129" s="13" t="s">
        <x:v>396</x:v>
      </x:c>
      <x:c r="G129" s="22" t="str">
        <x:v>GTM-02;GTM-12</x:v>
      </x:c>
      <x:c r="H129" s="22" t="str">
        <x:v>Parcial / a validar</x:v>
      </x:c>
    </x:row>
    <x:row r="130" ht="66" hidden="0" customHeight="1">
      <x:c r="B130" s="9" t="s">
        <x:v>397</x:v>
      </x:c>
      <x:c r="C130" s="10" t="s">
        <x:v>398</x:v>
      </x:c>
      <x:c r="D130" s="11" t="s">
        <x:v>399</x:v>
      </x:c>
      <x:c r="E130" s="12" t="str">
        <x:v>Obter anexos canônicos e evidências; validar demanda e candidatos a Quick Framework; distinguir evidência de inferência.</x:v>
      </x:c>
      <x:c r="F130" s="13" t="s">
        <x:v>400</x:v>
      </x:c>
      <x:c r="G130" s="22" t="str">
        <x:v>GTM-02;GTM-14</x:v>
      </x:c>
      <x:c r="H130" s="22" t="str">
        <x:v>Documentado</x:v>
      </x:c>
    </x:row>
    <x:row r="131" ht="68" hidden="0" customHeight="1">
      <x:c r="B131" s="9" t="s">
        <x:v>401</x:v>
      </x:c>
      <x:c r="C131" s="10" t="s">
        <x:v>402</x:v>
      </x:c>
      <x:c r="D131" s="11" t="s">
        <x:v>403</x:v>
      </x:c>
      <x:c r="E131" s="12" t="str">
        <x:v>Oito capacidades conceituais: Research, Strategy, Communication, Story, Experience, Visual, Growth e Governance. Não equivalem à lista de sete agentes.</x:v>
      </x:c>
      <x:c r="F131" s="13" t="s">
        <x:v>404</x:v>
      </x:c>
      <x:c r="G131" s="22" t="str">
        <x:v>GTM-02;GTM-07</x:v>
      </x:c>
      <x:c r="H131" s="22" t="str">
        <x:v>Parcial / a validar</x:v>
      </x:c>
    </x:row>
    <x:row r="132">
      <x:c r="G132" s="22"/>
      <x:c r="H132" s="22"/>
    </x:row>
    <x:row r="133" ht="19.5" hidden="0" customHeight="1">
      <x:c r="B133" s="3" t="s">
        <x:v>405</x:v>
      </x:c>
      <x:c r="C133" s="3"/>
      <x:c r="D133" s="3"/>
      <x:c r="E133" s="3"/>
      <x:c r="F133" s="3"/>
      <x:c r="G133" s="22"/>
      <x:c r="H133" s="22"/>
    </x:row>
    <x:row r="134" ht="15.75" hidden="0" customHeight="1">
      <x:c r="B134" s="8" t="s">
        <x:v>406</x:v>
      </x:c>
      <x:c r="C134" s="8"/>
      <x:c r="D134" s="8"/>
      <x:c r="E134" s="8"/>
      <x:c r="F134" s="8"/>
      <x:c r="G134" s="22"/>
      <x:c r="H134" s="22"/>
    </x:row>
    <x:row r="135" ht="66" hidden="0" customHeight="1">
      <x:c r="B135" s="9" t="s">
        <x:v>407</x:v>
      </x:c>
      <x:c r="C135" s="10" t="s">
        <x:v>408</x:v>
      </x:c>
      <x:c r="D135" s="11" t="s">
        <x:v>409</x:v>
      </x:c>
      <x:c r="E135" s="12" t="str">
        <x:v>copiloto-operacional, referido como único plugin de operações; caminho citado no GTM. Estado de instalação não verificado.</x:v>
      </x:c>
      <x:c r="F135" s="13" t="s">
        <x:v>410</x:v>
      </x:c>
      <x:c r="G135" s="22" t="str">
        <x:v>GTM-01</x:v>
      </x:c>
      <x:c r="H135" s="22" t="str">
        <x:v>Parcial / a validar</x:v>
      </x:c>
    </x:row>
    <x:row r="136" ht="66" hidden="0" customHeight="1">
      <x:c r="B136" s="9" t="s">
        <x:v>411</x:v>
      </x:c>
      <x:c r="C136" s="10" t="s">
        <x:v>412</x:v>
      </x:c>
      <x:c r="D136" s="11" t="s">
        <x:v>413</x:v>
      </x:c>
      <x:c r="E136" s="12" t="str">
        <x:v>ActiveCampaign e distribuição citados; conexão efetiva não comprovada.</x:v>
      </x:c>
      <x:c r="F136" s="13" t="s">
        <x:v>414</x:v>
      </x:c>
      <x:c r="G136" s="22" t="str">
        <x:v>GTM-10</x:v>
      </x:c>
      <x:c r="H136" s="22" t="str">
        <x:v>Parcial / a validar</x:v>
      </x:c>
    </x:row>
    <x:row r="137" ht="66" hidden="0" customHeight="1">
      <x:c r="B137" s="9" t="s">
        <x:v>415</x:v>
      </x:c>
      <x:c r="C137" s="10" t="s">
        <x:v>416</x:v>
      </x:c>
      <x:c r="D137" s="11" t="s">
        <x:v>417</x:v>
      </x:c>
      <x:c r="E137" s="12" t="str">
        <x:v>Formalizar executar-block-quickframeworks e integração Copiloto × Store; validar capacidades e ferramentas existentes.</x:v>
      </x:c>
      <x:c r="F137" s="13" t="s">
        <x:v>390</x:v>
      </x:c>
      <x:c r="G137" s="22" t="str">
        <x:v>GTM-15;GTM-16</x:v>
      </x:c>
      <x:c r="H137" s="22" t="str">
        <x:v>Documentado</x:v>
      </x:c>
    </x:row>
    <x:row r="138">
      <x:c r="G138" s="22"/>
      <x:c r="H138" s="22"/>
    </x:row>
    <x:row r="139" ht="19.5" hidden="0" customHeight="1">
      <x:c r="B139" s="3" t="s">
        <x:v>418</x:v>
      </x:c>
      <x:c r="C139" s="3"/>
      <x:c r="D139" s="3"/>
      <x:c r="E139" s="3"/>
      <x:c r="F139" s="3"/>
      <x:c r="G139" s="22"/>
      <x:c r="H139" s="22"/>
    </x:row>
    <x:row r="140" ht="15.75" hidden="0" customHeight="1">
      <x:c r="B140" s="8" t="s">
        <x:v>419</x:v>
      </x:c>
      <x:c r="C140" s="8"/>
      <x:c r="D140" s="8"/>
      <x:c r="E140" s="8"/>
      <x:c r="F140" s="8"/>
      <x:c r="G140" s="22"/>
      <x:c r="H140" s="22"/>
    </x:row>
    <x:row r="141" ht="66" hidden="0" customHeight="1">
      <x:c r="B141" s="9" t="s">
        <x:v>420</x:v>
      </x:c>
      <x:c r="C141" s="10" t="s">
        <x:v>421</x:v>
      </x:c>
      <x:c r="D141" s="11" t="s">
        <x:v>422</x:v>
      </x:c>
      <x:c r="E141" s="12" t="str">
        <x:v>GitHub para operação; CMS estruturado para conteúdo. Notion e demais entrypoints pendentes de papel definitivo.</x:v>
      </x:c>
      <x:c r="F141" s="13" t="s">
        <x:v>423</x:v>
      </x:c>
      <x:c r="G141" s="22" t="str">
        <x:v>GTM-01;GTM-02;GTM-10</x:v>
      </x:c>
      <x:c r="H141" s="22" t="str">
        <x:v>Parcial / a validar</x:v>
      </x:c>
    </x:row>
    <x:row r="142" ht="66" hidden="0" customHeight="1">
      <x:c r="B142" s="9" t="s">
        <x:v>424</x:v>
      </x:c>
      <x:c r="C142" s="10" t="s">
        <x:v>425</x:v>
      </x:c>
      <x:c r="D142" s="11" t="s">
        <x:v>426</x:v>
      </x:c>
      <x:c r="E142" s="12" t="str">
        <x:v>https://github.com/Sas-Executar/OPS-Maestro/issues/1 — referência citada no GTM, não consultada nesta atualização.</x:v>
      </x:c>
      <x:c r="F142" s="13" t="s">
        <x:v>390</x:v>
      </x:c>
      <x:c r="G142" s="22" t="str">
        <x:v>GTM-16</x:v>
      </x:c>
      <x:c r="H142" s="22" t="str">
        <x:v>Parcial / a validar</x:v>
      </x:c>
    </x:row>
    <x:row r="143" ht="66" hidden="0" customHeight="1">
      <x:c r="B143" s="9" t="s">
        <x:v>427</x:v>
      </x:c>
      <x:c r="C143" s="10" t="s">
        <x:v>428</x:v>
      </x:c>
      <x:c r="D143" s="11" t="s">
        <x:v>429</x:v>
      </x:c>
      <x:c r="E143" s="12" t="str">
        <x:v>Não informado no GTM. Definir antes da execução.</x:v>
      </x:c>
      <x:c r="F143" s="13" t="s">
        <x:v>430</x:v>
      </x:c>
      <x:c r="G143" s="22" t="str">
        <x:v>GTM-01;GTM-02</x:v>
      </x:c>
      <x:c r="H143" s="22" t="str">
        <x:v>Não informado</x:v>
      </x:c>
    </x:row>
    <x:row r="144">
      <x:c r="G144" s="22"/>
      <x:c r="H144" s="22"/>
    </x:row>
    <x:row r="145" ht="19.5" hidden="0" customHeight="1">
      <x:c r="B145" s="3" t="s">
        <x:v>431</x:v>
      </x:c>
      <x:c r="C145" s="3"/>
      <x:c r="D145" s="3"/>
      <x:c r="E145" s="3"/>
      <x:c r="F145" s="3"/>
      <x:c r="G145" s="22"/>
      <x:c r="H145" s="22"/>
    </x:row>
    <x:row r="146" ht="15.75" hidden="0" customHeight="1">
      <x:c r="B146" s="8" t="s">
        <x:v>432</x:v>
      </x:c>
      <x:c r="C146" s="8"/>
      <x:c r="D146" s="8"/>
      <x:c r="E146" s="8"/>
      <x:c r="F146" s="8"/>
      <x:c r="G146" s="22"/>
      <x:c r="H146" s="22"/>
    </x:row>
    <x:row r="147" ht="66" hidden="0" customHeight="1">
      <x:c r="B147" s="9" t="s">
        <x:v>433</x:v>
      </x:c>
      <x:c r="C147" s="10" t="s">
        <x:v>434</x:v>
      </x:c>
      <x:c r="D147" s="11" t="s">
        <x:v>435</x:v>
      </x:c>
      <x:c r="E147" s="12" t="str">
        <x:v>PROMPT MESTRE de pré-preenchimento é mencionado; texto canônico não fornecido.</x:v>
      </x:c>
      <x:c r="F147" s="13" t="s">
        <x:v>436</x:v>
      </x:c>
      <x:c r="G147" s="22" t="str">
        <x:v>GTM-17</x:v>
      </x:c>
      <x:c r="H147" s="22" t="str">
        <x:v>Parcial / a validar</x:v>
      </x:c>
    </x:row>
    <x:row r="148" ht="66" hidden="0" customHeight="1">
      <x:c r="B148" s="9" t="s">
        <x:v>437</x:v>
      </x:c>
      <x:c r="C148" s="10" t="s">
        <x:v>438</x:v>
      </x:c>
      <x:c r="D148" s="11" t="s">
        <x:v>439</x:v>
      </x:c>
      <x:c r="E148" s="12" t="str">
        <x:v>A definir. Gatilhos concretos das skills e comandos operacionais não especificados.</x:v>
      </x:c>
      <x:c r="F148" s="13" t="s">
        <x:v>390</x:v>
      </x:c>
      <x:c r="G148" s="22" t="str">
        <x:v>GTM-16</x:v>
      </x:c>
      <x:c r="H148" s="22" t="str">
        <x:v>Parcial / a validar</x:v>
      </x:c>
    </x:row>
    <x:row r="149" ht="66" hidden="0" customHeight="1">
      <x:c r="B149" s="9" t="s">
        <x:v>440</x:v>
      </x:c>
      <x:c r="C149" s="10" t="s">
        <x:v>441</x:v>
      </x:c>
      <x:c r="D149" s="11" t="s">
        <x:v>442</x:v>
      </x:c>
      <x:c r="E149" s="12" t="str">
        <x:v>Não apresentar candidato como publicado; nenhum claim factual sem Evidence_ID/Source_ID; marcar inferências e preservar proveniência.</x:v>
      </x:c>
      <x:c r="F149" s="13" t="s">
        <x:v>443</x:v>
      </x:c>
      <x:c r="G149" s="22" t="str">
        <x:v>GTM-14;GTM-15</x:v>
      </x:c>
      <x:c r="H149" s="22" t="str">
        <x:v>Parcial / a validar</x:v>
      </x:c>
    </x:row>
  </x:sheetData>
  <x:mergeCells>
    <x:mergeCell ref="B2:F2"/>
    <x:mergeCell ref="B3:F3"/>
    <x:mergeCell ref="B6:F6"/>
    <x:mergeCell ref="B7:F7"/>
    <x:mergeCell ref="B21:F21"/>
    <x:mergeCell ref="B22:F22"/>
    <x:mergeCell ref="B36:F36"/>
    <x:mergeCell ref="B37:F37"/>
    <x:mergeCell ref="B49:F49"/>
    <x:mergeCell ref="B50:F50"/>
    <x:mergeCell ref="B60:F60"/>
    <x:mergeCell ref="B61:F61"/>
    <x:mergeCell ref="B69:F69"/>
    <x:mergeCell ref="B70:F70"/>
    <x:mergeCell ref="B78:F78"/>
    <x:mergeCell ref="B79:F79"/>
    <x:mergeCell ref="B86:F86"/>
    <x:mergeCell ref="B87:F87"/>
    <x:mergeCell ref="B94:F94"/>
    <x:mergeCell ref="B95:F95"/>
    <x:mergeCell ref="B101:F101"/>
    <x:mergeCell ref="B102:F102"/>
    <x:mergeCell ref="B108:F108"/>
    <x:mergeCell ref="B109:F109"/>
    <x:mergeCell ref="B115:F115"/>
    <x:mergeCell ref="B116:F116"/>
    <x:mergeCell ref="B121:F121"/>
    <x:mergeCell ref="B122:F122"/>
    <x:mergeCell ref="B127:F127"/>
    <x:mergeCell ref="B128:F128"/>
    <x:mergeCell ref="B133:F133"/>
    <x:mergeCell ref="B134:F134"/>
    <x:mergeCell ref="B139:F139"/>
    <x:mergeCell ref="B140:F140"/>
    <x:mergeCell ref="B145:F145"/>
    <x:mergeCell ref="B146:F14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ColWidth="8.6796875" defaultRowHeight="15"/>
  <x:cols>
    <x:col min="1" max="1" width="2.5" hidden="0" customWidth="1"/>
    <x:col min="2" max="2" width="30" hidden="0" customWidth="1"/>
    <x:col min="3" max="3" width="90" hidden="0" customWidth="1"/>
    <x:col min="4" max="4" width="2.5" hidden="0" customWidth="1"/>
  </x:cols>
  <x:sheetData>
    <x:row r="2" ht="30" hidden="0" customHeight="1">
      <x:c r="B2" s="1" t="s">
        <x:v>444</x:v>
      </x:c>
      <x:c r="C2" s="1"/>
    </x:row>
    <x:row r="3" ht="15" hidden="0">
      <x:c r="B3" s="2" t="s">
        <x:v>445</x:v>
      </x:c>
      <x:c r="C3" s="2"/>
    </x:row>
    <x:row r="4" ht="15" hidden="0">
      <x:c r="B4" s="14" t="s">
        <x:v>446</x:v>
      </x:c>
      <x:c r="C4" s="14"/>
    </x:row>
    <x:row r="6" ht="19.5" hidden="0" customHeight="1">
      <x:c r="B6" s="3" t="s">
        <x:v>447</x:v>
      </x:c>
      <x:c r="C6" s="3"/>
    </x:row>
    <x:row r="7" ht="15.75" hidden="0" customHeight="1">
      <x:c r="B7" s="8" t="s">
        <x:v>448</x:v>
      </x:c>
      <x:c r="C7" s="8"/>
    </x:row>
    <x:row r="8" ht="48" hidden="0" customHeight="1">
      <x:c r="B8" s="15" t="s">
        <x:v>449</x:v>
      </x:c>
      <x:c r="C8" s="16" t="str">
        <x:f aca="0">IFERROR(IF(INDEX('01_Formulario'!$E$6:$E$151,MATCH("1.1",'01_Formulario'!$B$6:$B$151,0))="","— (a preencher em 01_Formulario)",INDEX('01_Formulario'!$E$6:$E$151,MATCH("1.1",'01_Formulario'!$B$6:$B$151,0))),"— (a preencher em 01_Formulario)")</x:f>
        <x:v>Falta de conhecimento técnico e didático baseado em evidências sobre riscos cognitivos no trabalho e na autogestão.</x:v>
      </x:c>
    </x:row>
    <x:row r="9" ht="48" hidden="0" customHeight="1">
      <x:c r="B9" s="15" t="s">
        <x:v>450</x:v>
      </x:c>
      <x:c r="C9" s="16" t="str">
        <x:f aca="0">IFERROR(IF(INDEX('01_Formulario'!$E$6:$E$151,MATCH("1.2",'01_Formulario'!$B$6:$B$151,0))="","— (a preencher em 01_Formulario)",INDEX('01_Formulario'!$E$6:$E$151,MATCH("1.2",'01_Formulario'!$B$6:$B$151,0))),"— (a preencher em 01_Formulario)")</x:f>
        <x:v>Trabalhador solo/autônomo neurodivergente com dificuldades de autogestão.</x:v>
      </x:c>
    </x:row>
    <x:row r="10" ht="48" hidden="0" customHeight="1">
      <x:c r="B10" s="15" t="s">
        <x:v>451</x:v>
      </x:c>
      <x:c r="C10" s="16" t="str">
        <x:f aca="0">IFERROR(IF(INDEX('01_Formulario'!$E$6:$E$151,MATCH("1.3",'01_Formulario'!$B$6:$B$151,0))="","— (a preencher em 01_Formulario)",INDEX('01_Formulario'!$E$6:$E$151,MATCH("1.3",'01_Formulario'!$B$6:$B$151,0))),"— (a preencher em 01_Formulario)")</x:f>
        <x:v>Conhecimento prático e estruturado combinado com assets, ferramentas e recursos aplicáveis ao trabalho real.</x:v>
      </x:c>
    </x:row>
    <x:row r="11" ht="48" hidden="0" customHeight="1">
      <x:c r="B11" s="15" t="s">
        <x:v>452</x:v>
      </x:c>
      <x:c r="C11" s="16" t="str">
        <x:f aca="0">IFERROR(IF(INDEX('01_Formulario'!$E$6:$E$151,MATCH("1.4",'01_Formulario'!$B$6:$B$151,0))="","— (a preencher em 01_Formulario)",INDEX('01_Formulario'!$E$6:$E$151,MATCH("1.4",'01_Formulario'!$B$6:$B$151,0))),"— (a preencher em 01_Formulario)")</x:f>
        <x:v>Blog, redes sociais, newsletter, comunidades e canais diretos. Priorizar canais antes de executar a matriz completa.</x:v>
      </x:c>
    </x:row>
    <x:row r="12" ht="48" hidden="0" customHeight="1">
      <x:c r="B12" s="15" t="s">
        <x:v>453</x:v>
      </x:c>
      <x:c r="C12" s="16" t="str">
        <x:f aca="0">IFERROR(IF(INDEX('01_Formulario'!$E$6:$E$151,MATCH("1.5",'01_Formulario'!$B$6:$B$151,0))="","— (a preencher em 01_Formulario)",INDEX('01_Formulario'!$E$6:$E$151,MATCH("1.5",'01_Formulario'!$B$6:$B$151,0))),"— (a preencher em 01_Formulario)")</x:f>
        <x:v>A definir. Downloads de assets aparecem como métrica, mas não foram designados North Star.</x:v>
      </x:c>
    </x:row>
    <x:row r="13" ht="48" hidden="0" customHeight="1">
      <x:c r="B13" s="15" t="s">
        <x:v>454</x:v>
      </x:c>
      <x:c r="C13" s="16" t="str">
        <x:f aca="0">IFERROR(IF(INDEX('01_Formulario'!$E$6:$E$151,MATCH("1.6",'01_Formulario'!$B$6:$B$151,0))="","— (a preencher em 01_Formulario)",INDEX('01_Formulario'!$E$6:$E$151,MATCH("1.6",'01_Formulario'!$B$6:$B$151,0))),"— (a preencher em 01_Formulario)")</x:f>
        <x:v>A definir. Riscos documentados: overkill, baixa eficiência, retrabalho e baixa aplicabilidade.</x:v>
      </x:c>
    </x:row>
    <x:row r="15" ht="19.5" hidden="0" customHeight="1">
      <x:c r="B15" s="3" t="s">
        <x:v>455</x:v>
      </x:c>
      <x:c r="C15" s="3"/>
    </x:row>
    <x:row r="16" ht="15.75" hidden="0" customHeight="1">
      <x:c r="B16" s="8" t="s">
        <x:v>456</x:v>
      </x:c>
      <x:c r="C16" s="8"/>
    </x:row>
    <x:row r="17" ht="48" hidden="0" customHeight="1">
      <x:c r="B17" s="15" t="s">
        <x:v>457</x:v>
      </x:c>
      <x:c r="C17" s="16" t="str">
        <x:f aca="0">IFERROR(IF(INDEX('01_Formulario'!$E$6:$E$151,MATCH("1.7",'01_Formulario'!$B$6:$B$151,0))="","— (a preencher em 01_Formulario)",INDEX('01_Formulario'!$E$6:$E$151,MATCH("1.7",'01_Formulario'!$B$6:$B$151,0))),"— (a preencher em 01_Formulario)")</x:f>
        <x:v>Não informado no GTM. Definir antes da execução.</x:v>
      </x:c>
    </x:row>
    <x:row r="18" ht="48" hidden="0" customHeight="1">
      <x:c r="B18" s="15" t="s">
        <x:v>458</x:v>
      </x:c>
      <x:c r="C18" s="16" t="str">
        <x:f aca="0">IFERROR(IF(INDEX('01_Formulario'!$E$6:$E$151,MATCH("1.8",'01_Formulario'!$B$6:$B$151,0))="","— (a preencher em 01_Formulario)",INDEX('01_Formulario'!$E$6:$E$151,MATCH("1.8",'01_Formulario'!$B$6:$B$151,0))),"— (a preencher em 01_Formulario)")</x:f>
        <x:v>Não informado no GTM. Definir antes da execução.</x:v>
      </x:c>
    </x:row>
    <x:row r="19" ht="48" hidden="0" customHeight="1">
      <x:c r="B19" s="15" t="s">
        <x:v>459</x:v>
      </x:c>
      <x:c r="C19" s="16" t="str">
        <x:f aca="0">IFERROR(IF(INDEX('01_Formulario'!$E$6:$E$151,MATCH("1.9",'01_Formulario'!$B$6:$B$151,0))="","— (a preencher em 01_Formulario)",INDEX('01_Formulario'!$E$6:$E$151,MATCH("1.9",'01_Formulario'!$B$6:$B$151,0))),"— (a preencher em 01_Formulario)")</x:f>
        <x:v>Não informado no GTM. Definir antes da execução.</x:v>
      </x:c>
    </x:row>
    <x:row r="20" ht="48" hidden="0" customHeight="1">
      <x:c r="B20" s="15" t="s">
        <x:v>460</x:v>
      </x:c>
      <x:c r="C20" s="16" t="str">
        <x:f aca="0">IFERROR(IF(INDEX('01_Formulario'!$E$6:$E$151,MATCH("1.10",'01_Formulario'!$B$6:$B$151,0))="","— (a preencher em 01_Formulario)",INDEX('01_Formulario'!$E$6:$E$151,MATCH("1.10",'01_Formulario'!$B$6:$B$151,0))),"— (a preencher em 01_Formulario)")</x:f>
        <x:v>Falta de conhecimento técnico e didático baseado em evidências sobre riscos cognitivos no trabalho e na autogestão.</x:v>
      </x:c>
    </x:row>
    <x:row r="21" ht="48" hidden="0" customHeight="1">
      <x:c r="B21" s="15" t="s">
        <x:v>461</x:v>
      </x:c>
      <x:c r="C21" s="16" t="str">
        <x:f aca="0">IFERROR(IF(INDEX('01_Formulario'!$E$6:$E$151,MATCH("1.11",'01_Formulario'!$B$6:$B$151,0))="","— (a preencher em 01_Formulario)",INDEX('01_Formulario'!$E$6:$E$151,MATCH("1.11",'01_Formulario'!$B$6:$B$151,0))),"— (a preencher em 01_Formulario)")</x:f>
        <x:v>Não informado no GTM. Definir antes da execução.</x:v>
      </x:c>
    </x:row>
    <x:row r="22" ht="48" hidden="0" customHeight="1">
      <x:c r="B22" s="15" t="s">
        <x:v>462</x:v>
      </x:c>
      <x:c r="C22" s="16" t="str">
        <x:f aca="0">IFERROR(IF(INDEX('01_Formulario'!$E$6:$E$151,MATCH("1.12",'01_Formulario'!$B$6:$B$151,0))="","— (a preencher em 01_Formulario)",INDEX('01_Formulario'!$E$6:$E$151,MATCH("1.12",'01_Formulario'!$B$6:$B$151,0))),"— (a preencher em 01_Formulario)")</x:f>
        <x:v>Não informado no GTM. Definir antes da execução.</x:v>
      </x:c>
    </x:row>
    <x:row r="24" ht="19.5" hidden="0" customHeight="1">
      <x:c r="B24" s="3" t="s">
        <x:v>463</x:v>
      </x:c>
      <x:c r="C24" s="3"/>
    </x:row>
    <x:row r="25" ht="15.75" hidden="0" customHeight="1">
      <x:c r="B25" s="8" t="s">
        <x:v>464</x:v>
      </x:c>
      <x:c r="C25" s="8"/>
    </x:row>
    <x:row r="26" ht="48" hidden="0" customHeight="1">
      <x:c r="B26" s="15" t="s">
        <x:v>465</x:v>
      </x:c>
      <x:c r="C26" s="16" t="str">
        <x:f aca="0">IFERROR(IF(INDEX('01_Formulario'!$E$6:$E$151,MATCH("2.1",'01_Formulario'!$B$6:$B$151,0))="","— (a preencher em 01_Formulario)",INDEX('01_Formulario'!$E$6:$E$151,MATCH("2.1",'01_Formulario'!$B$6:$B$151,0))),"— (a preencher em 01_Formulario)")</x:f>
        <x:v>Blog Risco Cognitivo — Lançamento.</x:v>
      </x:c>
    </x:row>
    <x:row r="27" ht="48" hidden="0" customHeight="1">
      <x:c r="B27" s="15" t="s">
        <x:v>466</x:v>
      </x:c>
      <x:c r="C27" s="16" t="str">
        <x:f aca="0">IFERROR(IF(INDEX('01_Formulario'!$E$6:$E$151,MATCH("2.2",'01_Formulario'!$B$6:$B$151,0))="","— (a preencher em 01_Formulario)",INDEX('01_Formulario'!$E$6:$E$151,MATCH("2.2",'01_Formulario'!$B$6:$B$151,0))),"— (a preencher em 01_Formulario)")</x:f>
        <x:v>Canal do Programa EXECUTAR para divulgação, aquisição, experimentação e validação de demanda.</x:v>
      </x:c>
    </x:row>
    <x:row r="28" ht="48" hidden="0" customHeight="1">
      <x:c r="B28" s="15" t="s">
        <x:v>467</x:v>
      </x:c>
      <x:c r="C28" s="16" t="str">
        <x:f aca="0">IFERROR(IF(INDEX('01_Formulario'!$E$6:$E$151,MATCH("2.3",'01_Formulario'!$B$6:$B$151,0))="","— (a preencher em 01_Formulario)",INDEX('01_Formulario'!$E$6:$E$151,MATCH("2.3",'01_Formulario'!$B$6:$B$151,0))),"— (a preencher em 01_Formulario)")</x:f>
        <x:v>Validar interesse, utilidade, compartilhamento, adoção e demanda; apresentar amostras beta do ecossistema.</x:v>
      </x:c>
    </x:row>
    <x:row r="29" ht="48" hidden="0" customHeight="1">
      <x:c r="B29" s="15" t="s">
        <x:v>468</x:v>
      </x:c>
      <x:c r="C29" s="16" t="str">
        <x:f aca="0">IFERROR(IF(INDEX('01_Formulario'!$E$6:$E$151,MATCH("2.4",'01_Formulario'!$B$6:$B$151,0))="","— (a preencher em 01_Formulario)",INDEX('01_Formulario'!$E$6:$E$151,MATCH("2.4",'01_Formulario'!$B$6:$B$151,0))),"— (a preencher em 01_Formulario)")</x:f>
        <x:v>Limite documentado: preservar centros canônicos; evitar cópias divergentes. Exclusões de escopo do MVP ainda a definir.</x:v>
      </x:c>
    </x:row>
    <x:row r="30" ht="48" hidden="0" customHeight="1">
      <x:c r="B30" s="15" t="s">
        <x:v>469</x:v>
      </x:c>
      <x:c r="C30" s="16" t="str">
        <x:f aca="0">IFERROR(IF(INDEX('01_Formulario'!$E$6:$E$151,MATCH("2.5",'01_Formulario'!$B$6:$B$151,0))="","— (a preencher em 01_Formulario)",INDEX('01_Formulario'!$E$6:$E$151,MATCH("2.5",'01_Formulario'!$B$6:$B$151,0))),"— (a preencher em 01_Formulario)")</x:f>
        <x:v>Blog full stack, três packs, agentes, loja, mapa, schema, Quick Frameworks e integrações. CMS e pipeline também constam na ficha inicial.</x:v>
      </x:c>
    </x:row>
    <x:row r="31" ht="48" hidden="0" customHeight="1">
      <x:c r="B31" s="15" t="s">
        <x:v>470</x:v>
      </x:c>
      <x:c r="C31" s="16" t="str">
        <x:f aca="0">IFERROR(IF(INDEX('01_Formulario'!$E$6:$E$151,MATCH("2.6",'01_Formulario'!$B$6:$B$151,0))="","— (a preencher em 01_Formulario)",INDEX('01_Formulario'!$E$6:$E$151,MATCH("2.6",'01_Formulario'!$B$6:$B$151,0))),"— (a preencher em 01_Formulario)")</x:f>
        <x:v>Gates documentados: IDs e evidências rastreáveis, QA antes de publicação e claims factuais com Evidence_ID/Source_ID. Aceite do lançamento a aprovar.</x:v>
      </x:c>
    </x:row>
    <x:row r="33" ht="19.5" hidden="0" customHeight="1">
      <x:c r="B33" s="3" t="s">
        <x:v>471</x:v>
      </x:c>
      <x:c r="C33" s="3"/>
    </x:row>
    <x:row r="34" ht="15.75" hidden="0" customHeight="1">
      <x:c r="B34" s="8" t="s">
        <x:v>472</x:v>
      </x:c>
      <x:c r="C34" s="8"/>
    </x:row>
    <x:row r="35" ht="48" hidden="0" customHeight="1">
      <x:c r="B35" s="15" t="s">
        <x:v>473</x:v>
      </x:c>
      <x:c r="C35" s="16" t="str">
        <x:f aca="0">IFERROR(IF(INDEX('01_Formulario'!$E$6:$E$151,MATCH("2.7",'01_Formulario'!$B$6:$B$151,0))="","— (a preencher em 01_Formulario)",INDEX('01_Formulario'!$E$6:$E$151,MATCH("2.7",'01_Formulario'!$B$6:$B$151,0))),"— (a preencher em 01_Formulario)")</x:f>
        <x:v>Trabalhador solo/autônomo neurodivergente.</x:v>
      </x:c>
    </x:row>
    <x:row r="36" ht="48" hidden="0" customHeight="1">
      <x:c r="B36" s="15" t="s">
        <x:v>474</x:v>
      </x:c>
      <x:c r="C36" s="16" t="str">
        <x:f aca="0">IFERROR(IF(INDEX('01_Formulario'!$E$6:$E$151,MATCH("2.8",'01_Formulario'!$B$6:$B$151,0))="","— (a preencher em 01_Formulario)",INDEX('01_Formulario'!$E$6:$E$151,MATCH("2.8",'01_Formulario'!$B$6:$B$151,0))),"— (a preencher em 01_Formulario)")</x:f>
        <x:v>Descobrir conteúdos em Reels, TikTok, Shorts, Instagram, Threads, X e Pinterest.</x:v>
      </x:c>
    </x:row>
    <x:row r="37" ht="48" hidden="0" customHeight="1">
      <x:c r="B37" s="15" t="s">
        <x:v>475</x:v>
      </x:c>
      <x:c r="C37" s="16" t="str">
        <x:f aca="0">IFERROR(IF(INDEX('01_Formulario'!$E$6:$E$151,MATCH("2.9",'01_Formulario'!$B$6:$B$151,0))="","— (a preencher em 01_Formulario)",INDEX('01_Formulario'!$E$6:$E$151,MATCH("2.9",'01_Formulario'!$B$6:$B$151,0))),"— (a preencher em 01_Formulario)")</x:f>
        <x:v>Executar ação concreta por Blog, Stories, newsletter, WhatsApp ou ferramentas.</x:v>
      </x:c>
    </x:row>
    <x:row r="38" ht="48" hidden="0" customHeight="1">
      <x:c r="B38" s="15" t="s">
        <x:v>476</x:v>
      </x:c>
      <x:c r="C38" s="16" t="str">
        <x:f aca="0">IFERROR(IF(INDEX('01_Formulario'!$E$6:$E$151,MATCH("2.10",'01_Formulario'!$B$6:$B$151,0))="","— (a preencher em 01_Formulario)",INDEX('01_Formulario'!$E$6:$E$151,MATCH("2.10",'01_Formulario'!$B$6:$B$151,0))),"— (a preencher em 01_Formulario)")</x:f>
        <x:v>Blog Risco Cognitivo — Lançamento.</x:v>
      </x:c>
    </x:row>
    <x:row r="39" ht="48" hidden="0" customHeight="1">
      <x:c r="B39" s="15" t="s">
        <x:v>477</x:v>
      </x:c>
      <x:c r="C39" s="16" t="str">
        <x:f aca="0">IFERROR(IF(INDEX('01_Formulario'!$E$6:$E$151,MATCH("2.11",'01_Formulario'!$B$6:$B$151,0))="","— (a preencher em 01_Formulario)",INDEX('01_Formulario'!$E$6:$E$151,MATCH("2.11",'01_Formulario'!$B$6:$B$151,0))),"— (a preencher em 01_Formulario)")</x:f>
        <x:v>Hipótese: reconhecer um problema e encontrar uma solução utilizável sem reconstruir contexto. Validar com usuários.</x:v>
      </x:c>
    </x:row>
    <x:row r="40" ht="48" hidden="0" customHeight="1">
      <x:c r="B40" s="15" t="s">
        <x:v>478</x:v>
      </x:c>
      <x:c r="C40" s="16" t="str">
        <x:f aca="0">IFERROR(IF(INDEX('01_Formulario'!$E$6:$E$151,MATCH("2.12",'01_Formulario'!$B$6:$B$151,0))="","— (a preencher em 01_Formulario)",INDEX('01_Formulario'!$E$6:$E$151,MATCH("2.12",'01_Formulario'!$B$6:$B$151,0))),"— (a preencher em 01_Formulario)")</x:f>
        <x:v>Proposta: como trabalhador neurodivergente, quero filtrar meu problema para encontrar artigos e soluções aplicáveis ao meu trabalho.</x:v>
      </x:c>
    </x:row>
  </x:sheetData>
  <x:mergeCells>
    <x:mergeCell ref="B2:C2"/>
    <x:mergeCell ref="B3:C3"/>
    <x:mergeCell ref="B4:C4"/>
    <x:mergeCell ref="B6:C6"/>
    <x:mergeCell ref="B7:C7"/>
    <x:mergeCell ref="B15:C15"/>
    <x:mergeCell ref="B16:C16"/>
    <x:mergeCell ref="B24:C24"/>
    <x:mergeCell ref="B25:C25"/>
    <x:mergeCell ref="B33:C33"/>
    <x:mergeCell ref="B34:C3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ColWidth="8.6796875" defaultRowHeight="15"/>
  <x:cols>
    <x:col min="1" max="1" width="2.5" hidden="0" customWidth="1"/>
    <x:col min="2" max="2" width="30" hidden="0" customWidth="1"/>
    <x:col min="3" max="3" width="90" hidden="0" customWidth="1"/>
    <x:col min="4" max="4" width="2.5" hidden="0" customWidth="1"/>
  </x:cols>
  <x:sheetData>
    <x:row r="2" ht="30" hidden="0" customHeight="1">
      <x:c r="B2" s="1" t="s">
        <x:v>479</x:v>
      </x:c>
      <x:c r="C2" s="1"/>
    </x:row>
    <x:row r="3" ht="15" hidden="0">
      <x:c r="B3" s="2" t="s">
        <x:v>480</x:v>
      </x:c>
      <x:c r="C3" s="2"/>
    </x:row>
    <x:row r="4" ht="15" hidden="0">
      <x:c r="B4" s="14" t="s">
        <x:v>446</x:v>
      </x:c>
      <x:c r="C4" s="14"/>
    </x:row>
    <x:row r="6" ht="19.5" hidden="0" customHeight="1">
      <x:c r="B6" s="3" t="s">
        <x:v>481</x:v>
      </x:c>
      <x:c r="C6" s="3"/>
    </x:row>
    <x:row r="7" ht="15.75" hidden="0" customHeight="1">
      <x:c r="B7" s="8" t="s">
        <x:v>482</x:v>
      </x:c>
      <x:c r="C7" s="8"/>
    </x:row>
    <x:row r="8" ht="48" hidden="0" customHeight="1">
      <x:c r="B8" s="15" t="s">
        <x:v>483</x:v>
      </x:c>
      <x:c r="C8" s="16" t="str">
        <x:f aca="0">IFERROR(IF(INDEX('01_Formulario'!$E$6:$E$151,MATCH("3.1",'01_Formulario'!$B$6:$B$151,0))="","— (a preencher em 01_Formulario)",INDEX('01_Formulario'!$E$6:$E$151,MATCH("3.1",'01_Formulario'!$B$6:$B$151,0))),"— (a preencher em 01_Formulario)")</x:f>
        <x:v>React/Next.js citados no resumo; versões e decisão final não informadas. Design System, tokens e golden screens previstos.</x:v>
      </x:c>
    </x:row>
    <x:row r="9" ht="48" hidden="0" customHeight="1">
      <x:c r="B9" s="15" t="s">
        <x:v>484</x:v>
      </x:c>
      <x:c r="C9" s="16" t="str">
        <x:f aca="0">IFERROR(IF(INDEX('01_Formulario'!$E$6:$E$151,MATCH("3.2",'01_Formulario'!$B$6:$B$151,0))="","— (a preencher em 01_Formulario)",INDEX('01_Formulario'!$E$6:$E$151,MATCH("3.2",'01_Formulario'!$B$6:$B$151,0))),"— (a preencher em 01_Formulario)")</x:f>
        <x:v>Backend, CMS e APIs previstos; tecnologia a definir.</x:v>
      </x:c>
    </x:row>
    <x:row r="10" ht="48" hidden="0" customHeight="1">
      <x:c r="B10" s="15" t="s">
        <x:v>485</x:v>
      </x:c>
      <x:c r="C10" s="16" t="str">
        <x:f aca="0">IFERROR(IF(INDEX('01_Formulario'!$E$6:$E$151,MATCH("3.3",'01_Formulario'!$B$6:$B$151,0))="","— (a preencher em 01_Formulario)",INDEX('01_Formulario'!$E$6:$E$151,MATCH("3.3",'01_Formulario'!$B$6:$B$151,0))),"— (a preencher em 01_Formulario)")</x:f>
        <x:v>Banco e CMS estruturado previstos. Prisma citado como camada de mapa, sem contrato ou decisão técnica confirmada.</x:v>
      </x:c>
    </x:row>
    <x:row r="11" ht="48" hidden="0" customHeight="1">
      <x:c r="B11" s="15" t="s">
        <x:v>486</x:v>
      </x:c>
      <x:c r="C11" s="16" t="str">
        <x:f aca="0">IFERROR(IF(INDEX('01_Formulario'!$E$6:$E$151,MATCH("3.4",'01_Formulario'!$B$6:$B$151,0))="","— (a preencher em 01_Formulario)",INDEX('01_Formulario'!$E$6:$E$151,MATCH("3.4",'01_Formulario'!$B$6:$B$151,0))),"— (a preencher em 01_Formulario)")</x:f>
        <x:v>Infraestrutura e hosting a definir; topologia recomendada mantém conteúdo público próximo ao domínio principal.</x:v>
      </x:c>
    </x:row>
    <x:row r="12" ht="48" hidden="0" customHeight="1">
      <x:c r="B12" s="15" t="s">
        <x:v>487</x:v>
      </x:c>
      <x:c r="C12" s="16" t="str">
        <x:f aca="0">IFERROR(IF(INDEX('01_Formulario'!$E$6:$E$151,MATCH("3.5",'01_Formulario'!$B$6:$B$151,0))="","— (a preencher em 01_Formulario)",INDEX('01_Formulario'!$E$6:$E$151,MATCH("3.5",'01_Formulario'!$B$6:$B$151,0))),"— (a preencher em 01_Formulario)")</x:f>
        <x:v>Identidade citada; provedor e fluxos de autenticação a definir.</x:v>
      </x:c>
    </x:row>
    <x:row r="13" ht="48" hidden="0" customHeight="1">
      <x:c r="B13" s="15" t="s">
        <x:v>488</x:v>
      </x:c>
      <x:c r="C13" s="16" t="str">
        <x:f aca="0">IFERROR(IF(INDEX('01_Formulario'!$E$6:$E$151,MATCH("3.6",'01_Formulario'!$B$6:$B$151,0))="","— (a preencher em 01_Formulario)",INDEX('01_Formulario'!$E$6:$E$151,MATCH("3.6",'01_Formulario'!$B$6:$B$151,0))),"— (a preencher em 01_Formulario)")</x:f>
        <x:v>Centros citados: LANCAMENTO (Store/schema), 01-Executar-Echo (Copiloto) e OPS-Maestro (orquestração). Não verificados externamente.</x:v>
      </x:c>
    </x:row>
    <x:row r="14" ht="48" hidden="0" customHeight="1">
      <x:c r="B14" s="15" t="s">
        <x:v>489</x:v>
      </x:c>
      <x:c r="C14" s="16" t="str">
        <x:f aca="0">IFERROR(IF(INDEX('01_Formulario'!$E$6:$E$151,MATCH("3.7",'01_Formulario'!$B$6:$B$151,0))="","— (a preencher em 01_Formulario)",INDEX('01_Formulario'!$E$6:$E$151,MATCH("3.7",'01_Formulario'!$B$6:$B$151,0))),"— (a preencher em 01_Formulario)")</x:f>
        <x:v>Rotas funcionais: Blog, Store, Mapa, Quick Frameworks e Copiloto. URLs e rotas técnicas a definir.</x:v>
      </x:c>
    </x:row>
    <x:row r="15" ht="48" hidden="0" customHeight="1">
      <x:c r="B15" s="15" t="s">
        <x:v>490</x:v>
      </x:c>
      <x:c r="C15" s="16" t="str">
        <x:f aca="0">IFERROR(IF(INDEX('01_Formulario'!$E$6:$E$151,MATCH("3.8",'01_Formulario'!$B$6:$B$151,0))="","— (a preencher em 01_Formulario)",INDEX('01_Formulario'!$E$6:$E$151,MATCH("3.8",'01_Formulario'!$B$6:$B$151,0))),"— (a preencher em 01_Formulario)")</x:f>
        <x:v>Proposta: schema canônico de objetos e relações, com Store, Mapa, Blog e Copiloto como profiles, views e consumidores.</x:v>
      </x:c>
    </x:row>
    <x:row r="16" ht="48" hidden="0" customHeight="1">
      <x:c r="B16" s="15" t="s">
        <x:v>491</x:v>
      </x:c>
      <x:c r="C16" s="16" t="str">
        <x:f aca="0">IFERROR(IF(INDEX('01_Formulario'!$E$6:$E$151,MATCH("3.9",'01_Formulario'!$B$6:$B$151,0))="","— (a preencher em 01_Formulario)",INDEX('01_Formulario'!$E$6:$E$151,MATCH("3.9",'01_Formulario'!$B$6:$B$151,0))),"— (a preencher em 01_Formulario)")</x:f>
        <x:v>Recomendação: aquisição e conteúdo público próximos ao domínio principal; subdomínios apenas para fronteiras técnicas reais.</x:v>
      </x:c>
    </x:row>
    <x:row r="17" ht="48" hidden="0" customHeight="1">
      <x:c r="B17" s="15" t="s">
        <x:v>492</x:v>
      </x:c>
      <x:c r="C17" s="16" t="str">
        <x:f aca="0">IFERROR(IF(INDEX('01_Formulario'!$E$6:$E$151,MATCH("3.10",'01_Formulario'!$B$6:$B$151,0))="","— (a preencher em 01_Formulario)",INDEX('01_Formulario'!$E$6:$E$151,MATCH("3.10",'01_Formulario'!$B$6:$B$151,0))),"— (a preencher em 01_Formulario)")</x:f>
        <x:v>React/Next.js citados no resumo; versões e decisão final não informadas. Design System, tokens e golden screens previstos.</x:v>
      </x:c>
    </x:row>
    <x:row r="19" ht="19.5" hidden="0" customHeight="1">
      <x:c r="B19" s="3" t="s">
        <x:v>493</x:v>
      </x:c>
      <x:c r="C19" s="3"/>
    </x:row>
    <x:row r="20" ht="15.75" hidden="0" customHeight="1">
      <x:c r="B20" s="8" t="s">
        <x:v>494</x:v>
      </x:c>
      <x:c r="C20" s="8"/>
    </x:row>
    <x:row r="21" ht="48" hidden="0" customHeight="1">
      <x:c r="B21" s="15" t="s">
        <x:v>495</x:v>
      </x:c>
      <x:c r="C21" s="16" t="str">
        <x:f aca="0">IFERROR(IF(INDEX('01_Formulario'!$E$6:$E$151,MATCH("4.1",'01_Formulario'!$B$6:$B$151,0))="","— (a preencher em 01_Formulario)",INDEX('01_Formulario'!$E$6:$E$151,MATCH("4.1",'01_Formulario'!$B$6:$B$151,0))),"— (a preencher em 01_Formulario)")</x:f>
        <x:v>RC-UGS-001 com evolução proposta para Unified Object Schema v2: IDs imutáveis, proveniência, objetos tipados, relações, eventos e métricas. Distinto do JSON de 94 campos anexado.</x:v>
      </x:c>
    </x:row>
    <x:row r="22" ht="48" hidden="0" customHeight="1">
      <x:c r="B22" s="15" t="s">
        <x:v>496</x:v>
      </x:c>
      <x:c r="C22" s="16" t="str">
        <x:f aca="0">IFERROR(IF(INDEX('01_Formulario'!$E$6:$E$151,MATCH("4.2",'01_Formulario'!$B$6:$B$151,0))="","— (a preencher em 01_Formulario)",INDEX('01_Formulario'!$E$6:$E$151,MATCH("4.2",'01_Formulario'!$B$6:$B$151,0))),"— (a preencher em 01_Formulario)")</x:f>
        <x:v>A definir. Fluxos conceituais existem; endpoints, métodos e contratos de API não constam no GTM.</x:v>
      </x:c>
    </x:row>
    <x:row r="23" ht="48" hidden="0" customHeight="1">
      <x:c r="B23" s="15" t="s">
        <x:v>497</x:v>
      </x:c>
      <x:c r="C23" s="16" t="str">
        <x:f aca="0">IFERROR(IF(INDEX('01_Formulario'!$E$6:$E$151,MATCH("4.3",'01_Formulario'!$B$6:$B$151,0))="","— (a preencher em 01_Formulario)",INDEX('01_Formulario'!$E$6:$E$151,MATCH("4.3",'01_Formulario'!$B$6:$B$151,0))),"— (a preencher em 01_Formulario)")</x:f>
        <x:v>Copiloto OPS, Vera, especialista RC, OPS-Maestro, Video Maker, executar-block-quickframeworks e integração Copiloto × Store. Lista não comprova instalação.</x:v>
      </x:c>
    </x:row>
    <x:row r="24" ht="48" hidden="0" customHeight="1">
      <x:c r="B24" s="15" t="s">
        <x:v>498</x:v>
      </x:c>
      <x:c r="C24" s="16" t="str">
        <x:f aca="0">IFERROR(IF(INDEX('01_Formulario'!$E$6:$E$151,MATCH("4.4",'01_Formulario'!$B$6:$B$151,0))="","— (a preencher em 01_Formulario)",INDEX('01_Formulario'!$E$6:$E$151,MATCH("4.4",'01_Formulario'!$B$6:$B$151,0))),"— (a preencher em 01_Formulario)")</x:f>
        <x:v>Três packs antes do lançamento; base técnica full stack, CMS, schema e contratos de integração. Sequência operacional proposta em 11_Plano_Projeto.</x:v>
      </x:c>
    </x:row>
    <x:row r="25" ht="48" hidden="0" customHeight="1">
      <x:c r="B25" s="15" t="s">
        <x:v>499</x:v>
      </x:c>
      <x:c r="C25" s="16" t="str">
        <x:f aca="0">IFERROR(IF(INDEX('01_Formulario'!$E$6:$E$151,MATCH("4.5",'01_Formulario'!$B$6:$B$151,0))="","— (a preencher em 01_Formulario)",INDEX('01_Formulario'!$E$6:$E$151,MATCH("4.5",'01_Formulario'!$B$6:$B$151,0))),"— (a preencher em 01_Formulario)")</x:f>
        <x:v>Entry points citados: ActiveCampaign, distribuição, rotas manuais, Prisma e Notion; dependências condicionais a confirmar.</x:v>
      </x:c>
    </x:row>
    <x:row r="26" ht="48" hidden="0" customHeight="1">
      <x:c r="B26" s="15" t="s">
        <x:v>500</x:v>
      </x:c>
      <x:c r="C26" s="16" t="str">
        <x:f aca="0">IFERROR(IF(INDEX('01_Formulario'!$E$6:$E$151,MATCH("4.6",'01_Formulario'!$B$6:$B$151,0))="","— (a preencher em 01_Formulario)",INDEX('01_Formulario'!$E$6:$E$151,MATCH("4.6",'01_Formulario'!$B$6:$B$151,0))),"— (a preencher em 01_Formulario)")</x:f>
        <x:v>Não informado no GTM. Definir antes da execução.</x:v>
      </x:c>
    </x:row>
    <x:row r="27" ht="48" hidden="0" customHeight="1">
      <x:c r="B27" s="15" t="s">
        <x:v>501</x:v>
      </x:c>
      <x:c r="C27" s="16" t="str">
        <x:f aca="0">IFERROR(IF(INDEX('01_Formulario'!$E$6:$E$151,MATCH("4.7",'01_Formulario'!$B$6:$B$151,0))="","— (a preencher em 01_Formulario)",INDEX('01_Formulario'!$E$6:$E$151,MATCH("4.7",'01_Formulario'!$B$6:$B$151,0))),"— (a preencher em 01_Formulario)")</x:f>
        <x:v>Quick Framework Block: representação renderizável do conhecimento, com identidade, relações, evidências, CTA e apresentação. Ainda especificação.</x:v>
      </x:c>
    </x:row>
    <x:row r="28" ht="48" hidden="0" customHeight="1">
      <x:c r="B28" s="15" t="s">
        <x:v>502</x:v>
      </x:c>
      <x:c r="C28" s="16" t="str">
        <x:f aca="0">IFERROR(IF(INDEX('01_Formulario'!$E$6:$E$151,MATCH("4.8",'01_Formulario'!$B$6:$B$151,0))="","— (a preencher em 01_Formulario)",INDEX('01_Formulario'!$E$6:$E$151,MATCH("4.8",'01_Formulario'!$B$6:$B$151,0))),"— (a preencher em 01_Formulario)")</x:f>
        <x:v>Verificação automatizada e contratos visuais citados; suíte e cobertura a definir. Gate factual exige Evidence_ID/Source_ID.</x:v>
      </x:c>
    </x:row>
  </x:sheetData>
  <x:mergeCells>
    <x:mergeCell ref="B2:C2"/>
    <x:mergeCell ref="B3:C3"/>
    <x:mergeCell ref="B4:C4"/>
    <x:mergeCell ref="B6:C6"/>
    <x:mergeCell ref="B7:C7"/>
    <x:mergeCell ref="B19:C19"/>
    <x:mergeCell ref="B20:C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ColWidth="8.6796875" defaultRowHeight="15"/>
  <x:cols>
    <x:col min="1" max="1" width="2.5" hidden="0" customWidth="1"/>
    <x:col min="2" max="2" width="30" hidden="0" customWidth="1"/>
    <x:col min="3" max="3" width="90" hidden="0" customWidth="1"/>
    <x:col min="4" max="4" width="2.5" hidden="0" customWidth="1"/>
  </x:cols>
  <x:sheetData>
    <x:row r="2" ht="30" hidden="0" customHeight="1">
      <x:c r="B2" s="1" t="s">
        <x:v>503</x:v>
      </x:c>
      <x:c r="C2" s="1"/>
    </x:row>
    <x:row r="3" ht="15" hidden="0">
      <x:c r="B3" s="2" t="s">
        <x:v>504</x:v>
      </x:c>
      <x:c r="C3" s="2"/>
    </x:row>
    <x:row r="4" ht="15" hidden="0">
      <x:c r="B4" s="14" t="s">
        <x:v>446</x:v>
      </x:c>
      <x:c r="C4" s="14"/>
    </x:row>
    <x:row r="6" ht="19.5" hidden="0" customHeight="1">
      <x:c r="B6" s="3" t="s">
        <x:v>505</x:v>
      </x:c>
      <x:c r="C6" s="3"/>
    </x:row>
    <x:row r="7" ht="15.75" hidden="0" customHeight="1">
      <x:c r="B7" s="8" t="s">
        <x:v>506</x:v>
      </x:c>
      <x:c r="C7" s="8"/>
    </x:row>
    <x:row r="8" ht="48" hidden="0" customHeight="1">
      <x:c r="B8" s="15" t="s">
        <x:v>507</x:v>
      </x:c>
      <x:c r="C8" s="16" t="str">
        <x:f aca="0">IFERROR(IF(INDEX('01_Formulario'!$E$6:$E$151,MATCH("5.1",'01_Formulario'!$B$6:$B$151,0))="","— (a preencher em 01_Formulario)",INDEX('01_Formulario'!$E$6:$E$151,MATCH("5.1",'01_Formulario'!$B$6:$B$151,0))),"— (a preencher em 01_Formulario)")</x:f>
        <x:v>Não informado no GTM. Definir antes da execução.</x:v>
      </x:c>
    </x:row>
    <x:row r="9" ht="48" hidden="0" customHeight="1">
      <x:c r="B9" s="15" t="s">
        <x:v>508</x:v>
      </x:c>
      <x:c r="C9" s="16" t="str">
        <x:f aca="0">IFERROR(IF(INDEX('01_Formulario'!$E$6:$E$151,MATCH("5.2",'01_Formulario'!$B$6:$B$151,0))="","— (a preencher em 01_Formulario)",INDEX('01_Formulario'!$E$6:$E$151,MATCH("5.2",'01_Formulario'!$B$6:$B$151,0))),"— (a preencher em 01_Formulario)")</x:f>
        <x:v>Não informado no GTM. Definir antes da execução.</x:v>
      </x:c>
    </x:row>
    <x:row r="10" ht="48" hidden="0" customHeight="1">
      <x:c r="B10" s="15" t="s">
        <x:v>509</x:v>
      </x:c>
      <x:c r="C10" s="16" t="str">
        <x:f aca="0">IFERROR(IF(INDEX('01_Formulario'!$E$6:$E$151,MATCH("5.3",'01_Formulario'!$B$6:$B$151,0))="","— (a preencher em 01_Formulario)",INDEX('01_Formulario'!$E$6:$E$151,MATCH("5.3",'01_Formulario'!$B$6:$B$151,0))),"— (a preencher em 01_Formulario)")</x:f>
        <x:v>Não informado no GTM. Definir antes da execução.</x:v>
      </x:c>
    </x:row>
    <x:row r="11" ht="48" hidden="0" customHeight="1">
      <x:c r="B11" s="15" t="s">
        <x:v>510</x:v>
      </x:c>
      <x:c r="C11" s="16" t="str">
        <x:f aca="0">IFERROR(IF(INDEX('01_Formulario'!$E$6:$E$151,MATCH("5.4",'01_Formulario'!$B$6:$B$151,0))="","— (a preencher em 01_Formulario)",INDEX('01_Formulario'!$E$6:$E$151,MATCH("5.4",'01_Formulario'!$B$6:$B$151,0))),"— (a preencher em 01_Formulario)")</x:f>
        <x:v>Não informado no GTM. Definir antes da execução.</x:v>
      </x:c>
    </x:row>
    <x:row r="12" ht="48" hidden="0" customHeight="1">
      <x:c r="B12" s="15" t="s">
        <x:v>511</x:v>
      </x:c>
      <x:c r="C12" s="16" t="str">
        <x:f aca="0">IFERROR(IF(INDEX('01_Formulario'!$E$6:$E$151,MATCH("5.5",'01_Formulario'!$B$6:$B$151,0))="","— (a preencher em 01_Formulario)",INDEX('01_Formulario'!$E$6:$E$151,MATCH("5.5",'01_Formulario'!$B$6:$B$151,0))),"— (a preencher em 01_Formulario)")</x:f>
        <x:v>Não informado no GTM. Definir antes da execução.</x:v>
      </x:c>
    </x:row>
    <x:row r="13" ht="48" hidden="0" customHeight="1">
      <x:c r="B13" s="15" t="s">
        <x:v>512</x:v>
      </x:c>
      <x:c r="C13" s="16" t="str">
        <x:f aca="0">IFERROR(IF(INDEX('01_Formulario'!$E$6:$E$151,MATCH("5.6",'01_Formulario'!$B$6:$B$151,0))="","— (a preencher em 01_Formulario)",INDEX('01_Formulario'!$E$6:$E$151,MATCH("5.6",'01_Formulario'!$B$6:$B$151,0))),"— (a preencher em 01_Formulario)")</x:f>
        <x:v>Não informado no GTM. Definir antes da execução.</x:v>
      </x:c>
    </x:row>
    <x:row r="15" ht="19.5" hidden="0" customHeight="1">
      <x:c r="B15" s="3" t="s">
        <x:v>513</x:v>
      </x:c>
      <x:c r="C15" s="3"/>
    </x:row>
    <x:row r="16" ht="15.75" hidden="0" customHeight="1">
      <x:c r="B16" s="8" t="s">
        <x:v>514</x:v>
      </x:c>
      <x:c r="C16" s="8"/>
    </x:row>
    <x:row r="17" ht="48" hidden="0" customHeight="1">
      <x:c r="B17" s="15" t="s">
        <x:v>515</x:v>
      </x:c>
      <x:c r="C17" s="16" t="str">
        <x:f aca="0">IFERROR(IF(INDEX('01_Formulario'!$E$6:$E$151,MATCH("6.1",'01_Formulario'!$B$6:$B$151,0))="","— (a preencher em 01_Formulario)",INDEX('01_Formulario'!$E$6:$E$151,MATCH("6.1",'01_Formulario'!$B$6:$B$151,0))),"— (a preencher em 01_Formulario)")</x:f>
        <x:v>Não informado no GTM. Definir antes da execução.</x:v>
      </x:c>
    </x:row>
    <x:row r="18" ht="48" hidden="0" customHeight="1">
      <x:c r="B18" s="15" t="s">
        <x:v>516</x:v>
      </x:c>
      <x:c r="C18" s="16" t="str">
        <x:f aca="0">IFERROR(IF(INDEX('01_Formulario'!$E$6:$E$151,MATCH("6.2",'01_Formulario'!$B$6:$B$151,0))="","— (a preencher em 01_Formulario)",INDEX('01_Formulario'!$E$6:$E$151,MATCH("6.2",'01_Formulario'!$B$6:$B$151,0))),"— (a preencher em 01_Formulario)")</x:f>
        <x:v>Aprovações e governança previstas. Aprovador e condições de aprovação a definir.</x:v>
      </x:c>
    </x:row>
    <x:row r="19" ht="48" hidden="0" customHeight="1">
      <x:c r="B19" s="15" t="s">
        <x:v>517</x:v>
      </x:c>
      <x:c r="C19" s="16" t="str">
        <x:f aca="0">IFERROR(IF(INDEX('01_Formulario'!$E$6:$E$151,MATCH("6.3",'01_Formulario'!$B$6:$B$151,0))="","— (a preencher em 01_Formulario)",INDEX('01_Formulario'!$E$6:$E$151,MATCH("6.3",'01_Formulario'!$B$6:$B$151,0))),"— (a preencher em 01_Formulario)")</x:f>
        <x:v>Não informado no GTM. Definir antes da execução.</x:v>
      </x:c>
    </x:row>
    <x:row r="20" ht="48" hidden="0" customHeight="1">
      <x:c r="B20" s="15" t="s">
        <x:v>518</x:v>
      </x:c>
      <x:c r="C20" s="16" t="str">
        <x:f aca="0">IFERROR(IF(INDEX('01_Formulario'!$E$6:$E$151,MATCH("6.4",'01_Formulario'!$B$6:$B$151,0))="","— (a preencher em 01_Formulario)",INDEX('01_Formulario'!$E$6:$E$151,MATCH("6.4",'01_Formulario'!$B$6:$B$151,0))),"— (a preencher em 01_Formulario)")</x:f>
        <x:v>Não informado no GTM. Definir antes da execução.</x:v>
      </x:c>
    </x:row>
    <x:row r="21" ht="48" hidden="0" customHeight="1">
      <x:c r="B21" s="15" t="s">
        <x:v>519</x:v>
      </x:c>
      <x:c r="C21" s="16" t="str">
        <x:f aca="0">IFERROR(IF(INDEX('01_Formulario'!$E$6:$E$151,MATCH("6.5",'01_Formulario'!$B$6:$B$151,0))="","— (a preencher em 01_Formulario)",INDEX('01_Formulario'!$E$6:$E$151,MATCH("6.5",'01_Formulario'!$B$6:$B$151,0))),"— (a preencher em 01_Formulario)")</x:f>
        <x:v>Riscos citados: código, arquitetura e engenharia. Ameaças específicas de segurança não detalhadas.</x:v>
      </x:c>
    </x:row>
    <x:row r="22" ht="48" hidden="0" customHeight="1">
      <x:c r="B22" s="15" t="s">
        <x:v>520</x:v>
      </x:c>
      <x:c r="C22" s="16" t="str">
        <x:f aca="0">IFERROR(IF(INDEX('01_Formulario'!$E$6:$E$151,MATCH("6.6",'01_Formulario'!$B$6:$B$151,0))="","— (a preencher em 01_Formulario)",INDEX('01_Formulario'!$E$6:$E$151,MATCH("6.6",'01_Formulario'!$B$6:$B$151,0))),"— (a preencher em 01_Formulario)")</x:f>
        <x:v>Copiloto auxilia workflows e opera GitHub; OPS-Maestro orquestra contratos cross-repo. Limites de autonomia e permissões a definir.</x:v>
      </x:c>
    </x:row>
    <x:row r="24" ht="19.5" hidden="0" customHeight="1">
      <x:c r="B24" s="3" t="s">
        <x:v>521</x:v>
      </x:c>
      <x:c r="C24" s="3"/>
    </x:row>
    <x:row r="25" ht="15.75" hidden="0" customHeight="1">
      <x:c r="B25" s="8" t="s">
        <x:v>522</x:v>
      </x:c>
      <x:c r="C25" s="8"/>
    </x:row>
    <x:row r="26" ht="48" hidden="0" customHeight="1">
      <x:c r="B26" s="15" t="s">
        <x:v>523</x:v>
      </x:c>
      <x:c r="C26" s="16" t="str">
        <x:f aca="0">IFERROR(IF(INDEX('01_Formulario'!$E$6:$E$151,MATCH("7.1",'01_Formulario'!$B$6:$B$151,0))="","— (a preencher em 01_Formulario)",INDEX('01_Formulario'!$E$6:$E$151,MATCH("7.1",'01_Formulario'!$B$6:$B$151,0))),"— (a preencher em 01_Formulario)")</x:f>
        <x:v>GTM menciona README_AI.md do corpus, mas o arquivo não foi anexado; existência no repositório não verificada.</x:v>
      </x:c>
    </x:row>
    <x:row r="27" ht="48" hidden="0" customHeight="1">
      <x:c r="B27" s="15" t="s">
        <x:v>524</x:v>
      </x:c>
      <x:c r="C27" s="16" t="str">
        <x:f aca="0">IFERROR(IF(INDEX('01_Formulario'!$E$6:$E$151,MATCH("7.2",'01_Formulario'!$B$6:$B$151,0))="","— (a preencher em 01_Formulario)",INDEX('01_Formulario'!$E$6:$E$151,MATCH("7.2",'01_Formulario'!$B$6:$B$151,0))),"— (a preencher em 01_Formulario)")</x:f>
        <x:v>ADRs por área citados; decisões do schema e topologia descritas. Arquivos externos pendentes de consulta.</x:v>
      </x:c>
    </x:row>
    <x:row r="28" ht="48" hidden="0" customHeight="1">
      <x:c r="B28" s="15" t="s">
        <x:v>525</x:v>
      </x:c>
      <x:c r="C28" s="16" t="str">
        <x:f aca="0">IFERROR(IF(INDEX('01_Formulario'!$E$6:$E$151,MATCH("7.3",'01_Formulario'!$B$6:$B$151,0))="","— (a preencher em 01_Formulario)",INDEX('01_Formulario'!$E$6:$E$151,MATCH("7.3",'01_Formulario'!$B$6:$B$151,0))),"— (a preencher em 01_Formulario)")</x:f>
        <x:v>A definir. Documentação de API não fornecida.</x:v>
      </x:c>
    </x:row>
    <x:row r="29" ht="48" hidden="0" customHeight="1">
      <x:c r="B29" s="15" t="s">
        <x:v>526</x:v>
      </x:c>
      <x:c r="C29" s="16" t="str">
        <x:f aca="0">IFERROR(IF(INDEX('01_Formulario'!$E$6:$E$151,MATCH("7.4",'01_Formulario'!$B$6:$B$151,0))="","— (a preencher em 01_Formulario)",INDEX('01_Formulario'!$E$6:$E$151,MATCH("7.4",'01_Formulario'!$B$6:$B$151,0))),"— (a preencher em 01_Formulario)")</x:f>
        <x:v>A definir. Guia de onboarding não fornecido.</x:v>
      </x:c>
    </x:row>
    <x:row r="30" ht="48" hidden="0" customHeight="1">
      <x:c r="B30" s="15" t="s">
        <x:v>527</x:v>
      </x:c>
      <x:c r="C30" s="16" t="str">
        <x:f aca="0">IFERROR(IF(INDEX('01_Formulario'!$E$6:$E$151,MATCH("7.5",'01_Formulario'!$B$6:$B$151,0))="","— (a preencher em 01_Formulario)",INDEX('01_Formulario'!$E$6:$E$151,MATCH("7.5",'01_Formulario'!$B$6:$B$151,0))),"— (a preencher em 01_Formulario)")</x:f>
        <x:v>Inventário nominal de sete agentes/capacidades no GTM. Catálogo de capacidades e limites precisa ser consolidado.</x:v>
      </x:c>
    </x:row>
  </x:sheetData>
  <x:mergeCells>
    <x:mergeCell ref="B2:C2"/>
    <x:mergeCell ref="B3:C3"/>
    <x:mergeCell ref="B4:C4"/>
    <x:mergeCell ref="B6:C6"/>
    <x:mergeCell ref="B7:C7"/>
    <x:mergeCell ref="B15:C15"/>
    <x:mergeCell ref="B16:C16"/>
    <x:mergeCell ref="B24:C24"/>
    <x:mergeCell ref="B25:C2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ColWidth="8.6796875" defaultRowHeight="15"/>
  <x:cols>
    <x:col min="1" max="1" width="2.5" hidden="0" customWidth="1"/>
    <x:col min="2" max="2" width="30" hidden="0" customWidth="1"/>
    <x:col min="3" max="3" width="90" hidden="0" customWidth="1"/>
    <x:col min="4" max="4" width="2.5" hidden="0" customWidth="1"/>
  </x:cols>
  <x:sheetData>
    <x:row r="2" ht="30" hidden="0" customHeight="1">
      <x:c r="B2" s="1" t="s">
        <x:v>528</x:v>
      </x:c>
      <x:c r="C2" s="1"/>
    </x:row>
    <x:row r="3" ht="15" hidden="0">
      <x:c r="B3" s="2" t="s">
        <x:v>529</x:v>
      </x:c>
      <x:c r="C3" s="2"/>
    </x:row>
    <x:row r="4" ht="15" hidden="0">
      <x:c r="B4" s="14" t="s">
        <x:v>446</x:v>
      </x:c>
      <x:c r="C4" s="14"/>
    </x:row>
    <x:row r="6" ht="19.5" hidden="0" customHeight="1">
      <x:c r="B6" s="3" t="s">
        <x:v>530</x:v>
      </x:c>
      <x:c r="C6" s="3"/>
    </x:row>
    <x:row r="7" ht="15.75" hidden="0" customHeight="1">
      <x:c r="B7" s="8" t="s">
        <x:v>531</x:v>
      </x:c>
      <x:c r="C7" s="8"/>
    </x:row>
    <x:row r="8" ht="48" hidden="0" customHeight="1">
      <x:c r="B8" s="15" t="s">
        <x:v>532</x:v>
      </x:c>
      <x:c r="C8" s="16" t="str">
        <x:f aca="0">IFERROR(IF(INDEX('01_Formulario'!$E$6:$E$151,MATCH("8.1",'01_Formulario'!$B$6:$B$151,0))="","— (a preencher em 01_Formulario)",INDEX('01_Formulario'!$E$6:$E$151,MATCH("8.1",'01_Formulario'!$B$6:$B$151,0))),"— (a preencher em 01_Formulario)")</x:f>
        <x:v>Tema pouco explorado e demanda por métodos, conhecimento e ferramentas para trabalhadores neurodivergentes.</x:v>
      </x:c>
    </x:row>
    <x:row r="9" ht="48" hidden="0" customHeight="1">
      <x:c r="B9" s="15" t="s">
        <x:v>533</x:v>
      </x:c>
      <x:c r="C9" s="16" t="str">
        <x:f aca="0">IFERROR(IF(INDEX('01_Formulario'!$E$6:$E$151,MATCH("8.2",'01_Formulario'!$B$6:$B$151,0))="","— (a preencher em 01_Formulario)",INDEX('01_Formulario'!$E$6:$E$151,MATCH("8.2",'01_Formulario'!$B$6:$B$151,0))),"— (a preencher em 01_Formulario)")</x:f>
        <x:v>Não informado no GTM. Definir antes da execução.</x:v>
      </x:c>
    </x:row>
    <x:row r="10" ht="48" hidden="0" customHeight="1">
      <x:c r="B10" s="15" t="s">
        <x:v>534</x:v>
      </x:c>
      <x:c r="C10" s="16" t="str">
        <x:f aca="0">IFERROR(IF(INDEX('01_Formulario'!$E$6:$E$151,MATCH("8.3",'01_Formulario'!$B$6:$B$151,0))="","— (a preencher em 01_Formulario)",INDEX('01_Formulario'!$E$6:$E$151,MATCH("8.3",'01_Formulario'!$B$6:$B$151,0))),"— (a preencher em 01_Formulario)")</x:f>
        <x:v>Validar interesse, utilidade, compartilhamento, adoção e demanda. Metas numéricas de resultado a definir.</x:v>
      </x:c>
    </x:row>
    <x:row r="11" ht="48" hidden="0" customHeight="1">
      <x:c r="B11" s="15" t="s">
        <x:v>535</x:v>
      </x:c>
      <x:c r="C11" s="16" t="str">
        <x:f aca="0">IFERROR(IF(INDEX('01_Formulario'!$E$6:$E$151,MATCH("8.4",'01_Formulario'!$B$6:$B$151,0))="","— (a preencher em 01_Formulario)",INDEX('01_Formulario'!$E$6:$E$151,MATCH("8.4",'01_Formulario'!$B$6:$B$151,0))),"— (a preencher em 01_Formulario)")</x:f>
        <x:v>A definir. Nenhuma decisão Go/No-Go comprovada; gates propostos no plano.</x:v>
      </x:c>
    </x:row>
    <x:row r="12" ht="48" hidden="0" customHeight="1">
      <x:c r="B12" s="15" t="s">
        <x:v>536</x:v>
      </x:c>
      <x:c r="C12" s="16" t="str">
        <x:f aca="0">IFERROR(IF(INDEX('01_Formulario'!$E$6:$E$151,MATCH("8.5",'01_Formulario'!$B$6:$B$151,0))="","— (a preencher em 01_Formulario)",INDEX('01_Formulario'!$E$6:$E$151,MATCH("8.5",'01_Formulario'!$B$6:$B$151,0))),"— (a preencher em 01_Formulario)")</x:f>
        <x:v>Creator-Led Business + Creator-Led Growth; pesquisa, peça-mãe, derivação, distribuição, medição e aprendizado.</x:v>
      </x:c>
    </x:row>
    <x:row r="14" ht="19.5" hidden="0" customHeight="1">
      <x:c r="B14" s="3" t="s">
        <x:v>537</x:v>
      </x:c>
      <x:c r="C14" s="3"/>
    </x:row>
    <x:row r="15" ht="15.75" hidden="0" customHeight="1">
      <x:c r="B15" s="8" t="s">
        <x:v>538</x:v>
      </x:c>
      <x:c r="C15" s="8"/>
    </x:row>
    <x:row r="16" ht="48" hidden="0" customHeight="1">
      <x:c r="B16" s="15" t="s">
        <x:v>539</x:v>
      </x:c>
      <x:c r="C16" s="16" t="str">
        <x:f aca="0">IFERROR(IF(INDEX('01_Formulario'!$E$6:$E$151,MATCH("9.1",'01_Formulario'!$B$6:$B$151,0))="","— (a preencher em 01_Formulario)",INDEX('01_Formulario'!$E$6:$E$151,MATCH("9.1",'01_Formulario'!$B$6:$B$151,0))),"— (a preencher em 01_Formulario)")</x:f>
        <x:v>Apoiar validação e adoção de Executar App, serviços, marketplace, comunidade/ONG e Schola.ai. Horizonte temporal não informado.</x:v>
      </x:c>
    </x:row>
    <x:row r="17" ht="48" hidden="0" customHeight="1">
      <x:c r="B17" s="15" t="s">
        <x:v>540</x:v>
      </x:c>
      <x:c r="C17" s="16" t="str">
        <x:f aca="0">IFERROR(IF(INDEX('01_Formulario'!$E$6:$E$151,MATCH("9.2",'01_Formulario'!$B$6:$B$151,0))="","— (a preencher em 01_Formulario)",INDEX('01_Formulario'!$E$6:$E$151,MATCH("9.2",'01_Formulario'!$B$6:$B$151,0))),"— (a preencher em 01_Formulario)")</x:f>
        <x:v>Preparar banco de conteúdo com três packs e fundação técnica para lançamento.</x:v>
      </x:c>
    </x:row>
    <x:row r="18" ht="48" hidden="0" customHeight="1">
      <x:c r="B18" s="15" t="s">
        <x:v>541</x:v>
      </x:c>
      <x:c r="C18" s="16" t="str">
        <x:f aca="0">IFERROR(IF(INDEX('01_Formulario'!$E$6:$E$151,MATCH("9.3",'01_Formulario'!$B$6:$B$151,0))="","— (a preencher em 01_Formulario)",INDEX('01_Formulario'!$E$6:$E$151,MATCH("9.3",'01_Formulario'!$B$6:$B$151,0))),"— (a preencher em 01_Formulario)")</x:f>
        <x:v>Proposta: resolver duração dos packs, escopo de lançamento, responsáveis e contratos canônicos antes de datar o cronograma.</x:v>
      </x:c>
    </x:row>
    <x:row r="19" ht="48" hidden="0" customHeight="1">
      <x:c r="B19" s="15" t="s">
        <x:v>542</x:v>
      </x:c>
      <x:c r="C19" s="16" t="str">
        <x:f aca="0">IFERROR(IF(INDEX('01_Formulario'!$E$6:$E$151,MATCH("9.4",'01_Formulario'!$B$6:$B$151,0))="","— (a preencher em 01_Formulario)",INDEX('01_Formulario'!$E$6:$E$151,MATCH("9.4",'01_Formulario'!$B$6:$B$151,0))),"— (a preencher em 01_Formulario)")</x:f>
        <x:v>Conteúdo valida demanda; três packs e fundação suportam lançamento; dados de uso alimentam aprendizado e evolução do ecossistema.</x:v>
      </x:c>
    </x:row>
  </x:sheetData>
  <x:mergeCells>
    <x:mergeCell ref="B2:C2"/>
    <x:mergeCell ref="B3:C3"/>
    <x:mergeCell ref="B4:C4"/>
    <x:mergeCell ref="B6:C6"/>
    <x:mergeCell ref="B7:C7"/>
    <x:mergeCell ref="B14:C14"/>
    <x:mergeCell ref="B15:C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ColWidth="8.6796875" defaultRowHeight="15"/>
  <x:cols>
    <x:col min="1" max="1" width="2.5" hidden="0" customWidth="1"/>
    <x:col min="2" max="2" width="30" hidden="0" customWidth="1"/>
    <x:col min="3" max="3" width="90" hidden="0" customWidth="1"/>
    <x:col min="4" max="4" width="2.5" hidden="0" customWidth="1"/>
  </x:cols>
  <x:sheetData>
    <x:row r="2" ht="30" hidden="0" customHeight="1">
      <x:c r="B2" s="1" t="s">
        <x:v>543</x:v>
      </x:c>
      <x:c r="C2" s="1"/>
    </x:row>
    <x:row r="3" ht="15" hidden="0">
      <x:c r="B3" s="2" t="s">
        <x:v>544</x:v>
      </x:c>
      <x:c r="C3" s="2"/>
    </x:row>
    <x:row r="4" ht="15" hidden="0">
      <x:c r="B4" s="14" t="s">
        <x:v>446</x:v>
      </x:c>
      <x:c r="C4" s="14"/>
    </x:row>
    <x:row r="6" ht="19.5" hidden="0" customHeight="1">
      <x:c r="B6" s="3" t="s">
        <x:v>545</x:v>
      </x:c>
      <x:c r="C6" s="3"/>
    </x:row>
    <x:row r="7" ht="15.75" hidden="0" customHeight="1">
      <x:c r="B7" s="8" t="s">
        <x:v>546</x:v>
      </x:c>
      <x:c r="C7" s="8"/>
    </x:row>
    <x:row r="8" ht="48" hidden="0" customHeight="1">
      <x:c r="B8" s="15" t="s">
        <x:v>547</x:v>
      </x:c>
      <x:c r="C8" s="16" t="str">
        <x:f aca="0">IFERROR(IF(INDEX('01_Formulario'!$E$6:$E$151,MATCH("10.1",'01_Formulario'!$B$6:$B$151,0))="","— (a preencher em 01_Formulario)",INDEX('01_Formulario'!$E$6:$E$151,MATCH("10.1",'01_Formulario'!$B$6:$B$151,0))),"— (a preencher em 01_Formulario)")</x:f>
        <x:v>Banco de três packs pronto para lançamento; cronograma pendente de conciliar 17 dias/pack e 15 dias/ciclo.</x:v>
      </x:c>
    </x:row>
    <x:row r="9" ht="48" hidden="0" customHeight="1">
      <x:c r="B9" s="15" t="s">
        <x:v>548</x:v>
      </x:c>
      <x:c r="C9" s="16" t="str">
        <x:f aca="0">IFERROR(IF(INDEX('01_Formulario'!$E$6:$E$151,MATCH("10.2",'01_Formulario'!$B$6:$B$151,0))="","— (a preencher em 01_Formulario)",INDEX('01_Formulario'!$E$6:$E$151,MATCH("10.2",'01_Formulario'!$B$6:$B$151,0))),"— (a preencher em 01_Formulario)")</x:f>
        <x:v>A definir. Ciclo corrente e datas de início/fim não informados.</x:v>
      </x:c>
    </x:row>
    <x:row r="10" ht="48" hidden="0" customHeight="1">
      <x:c r="B10" s="15" t="s">
        <x:v>549</x:v>
      </x:c>
      <x:c r="C10" s="16" t="str">
        <x:f aca="0">IFERROR(IF(INDEX('01_Formulario'!$E$6:$E$151,MATCH("10.3",'01_Formulario'!$B$6:$B$151,0))="","— (a preencher em 01_Formulario)",INDEX('01_Formulario'!$E$6:$E$151,MATCH("10.3",'01_Formulario'!$B$6:$B$151,0))),"— (a preencher em 01_Formulario)")</x:f>
        <x:v>Proposta: formalizar schema canônico e contratos entre Blog, Store e Copiloto; resolver lacunas de planejamento.</x:v>
      </x:c>
    </x:row>
    <x:row r="11" ht="48" hidden="0" customHeight="1">
      <x:c r="B11" s="15" t="s">
        <x:v>550</x:v>
      </x:c>
      <x:c r="C11" s="16" t="str">
        <x:f aca="0">IFERROR(IF(INDEX('01_Formulario'!$E$6:$E$151,MATCH("10.4",'01_Formulario'!$B$6:$B$151,0))="","— (a preencher em 01_Formulario)",INDEX('01_Formulario'!$E$6:$E$151,MATCH("10.4",'01_Formulario'!$B$6:$B$151,0))),"— (a preencher em 01_Formulario)")</x:f>
        <x:v>Medição e aprendizado por ciclo. Duração divergente: 15 versus 17 dias.</x:v>
      </x:c>
    </x:row>
    <x:row r="13" ht="19.5" hidden="0" customHeight="1">
      <x:c r="B13" s="3" t="s">
        <x:v>551</x:v>
      </x:c>
      <x:c r="C13" s="3"/>
    </x:row>
    <x:row r="14" ht="15.75" hidden="0" customHeight="1">
      <x:c r="B14" s="8" t="s">
        <x:v>552</x:v>
      </x:c>
      <x:c r="C14" s="8"/>
    </x:row>
    <x:row r="15" ht="48" hidden="0" customHeight="1">
      <x:c r="B15" s="15" t="s">
        <x:v>553</x:v>
      </x:c>
      <x:c r="C15" s="16" t="str">
        <x:f aca="0">IFERROR(IF(INDEX('01_Formulario'!$E$6:$E$151,MATCH("11.1",'01_Formulario'!$B$6:$B$151,0))="","— (a preencher em 01_Formulario)",INDEX('01_Formulario'!$E$6:$E$151,MATCH("11.1",'01_Formulario'!$B$6:$B$151,0))),"— (a preencher em 01_Formulario)")</x:f>
        <x:v>Riscos Cognitivos (problema), Processos Neuroadaptativos (método), Ferramentas e Soluções (aplicação).</x:v>
      </x:c>
    </x:row>
    <x:row r="16" ht="48" hidden="0" customHeight="1">
      <x:c r="B16" s="15" t="s">
        <x:v>554</x:v>
      </x:c>
      <x:c r="C16" s="16" t="str">
        <x:f aca="0">IFERROR(IF(INDEX('01_Formulario'!$E$6:$E$151,MATCH("11.2",'01_Formulario'!$B$6:$B$151,0))="","— (a preencher em 01_Formulario)",INDEX('01_Formulario'!$E$6:$E$151,MATCH("11.2",'01_Formulario'!$B$6:$B$151,0))),"— (a preencher em 01_Formulario)")</x:f>
        <x:v>Três packs em linha; datas, temas e canais de cada publicação a definir. Cada ciclo entrega artigo e vídeo-mãe com derivados.</x:v>
      </x:c>
    </x:row>
    <x:row r="17" ht="48" hidden="0" customHeight="1">
      <x:c r="B17" s="15" t="s">
        <x:v>555</x:v>
      </x:c>
      <x:c r="C17" s="16" t="str">
        <x:f aca="0">IFERROR(IF(INDEX('01_Formulario'!$E$6:$E$151,MATCH("11.3",'01_Formulario'!$B$6:$B$151,0))="","— (a preencher em 01_Formulario)",INDEX('01_Formulario'!$E$6:$E$151,MATCH("11.3",'01_Formulario'!$B$6:$B$151,0))),"— (a preencher em 01_Formulario)")</x:f>
        <x:v>Lançamento Blog Risco Cognitivo. Execução e publicações ainda não comprovadas.</x:v>
      </x:c>
    </x:row>
    <x:row r="18" ht="48" hidden="0" customHeight="1">
      <x:c r="B18" s="15" t="s">
        <x:v>556</x:v>
      </x:c>
      <x:c r="C18" s="16" t="str">
        <x:f aca="0">IFERROR(IF(INDEX('01_Formulario'!$E$6:$E$151,MATCH("11.4",'01_Formulario'!$B$6:$B$151,0))="","— (a preencher em 01_Formulario)",INDEX('01_Formulario'!$E$6:$E$151,MATCH("11.4",'01_Formulario'!$B$6:$B$151,0))),"— (a preencher em 01_Formulario)")</x:f>
        <x:v>Problema → Método → Aplicação; pilares e níveis de consciência são dimensões independentes.</x:v>
      </x:c>
    </x:row>
  </x:sheetData>
  <x:mergeCells>
    <x:mergeCell ref="B2:C2"/>
    <x:mergeCell ref="B3:C3"/>
    <x:mergeCell ref="B4:C4"/>
    <x:mergeCell ref="B6:C6"/>
    <x:mergeCell ref="B7:C7"/>
    <x:mergeCell ref="B13:C13"/>
    <x:mergeCell ref="B14:C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ColWidth="8.6796875" defaultRowHeight="15"/>
  <x:cols>
    <x:col min="1" max="1" width="2.5" hidden="0" customWidth="1"/>
    <x:col min="2" max="2" width="30" hidden="0" customWidth="1"/>
    <x:col min="3" max="3" width="90" hidden="0" customWidth="1"/>
    <x:col min="4" max="4" width="2.5" hidden="0" customWidth="1"/>
  </x:cols>
  <x:sheetData>
    <x:row r="2" ht="30" hidden="0" customHeight="1">
      <x:c r="B2" s="1" t="s">
        <x:v>557</x:v>
      </x:c>
      <x:c r="C2" s="1"/>
    </x:row>
    <x:row r="3" ht="15" hidden="0">
      <x:c r="B3" s="2" t="s">
        <x:v>558</x:v>
      </x:c>
      <x:c r="C3" s="2"/>
    </x:row>
    <x:row r="4" ht="15" hidden="0">
      <x:c r="B4" s="14" t="s">
        <x:v>446</x:v>
      </x:c>
      <x:c r="C4" s="14"/>
    </x:row>
    <x:row r="6" ht="19.5" hidden="0" customHeight="1">
      <x:c r="B6" s="3" t="s">
        <x:v>559</x:v>
      </x:c>
      <x:c r="C6" s="3"/>
    </x:row>
    <x:row r="7" ht="15.75" hidden="0" customHeight="1">
      <x:c r="B7" s="8" t="s">
        <x:v>560</x:v>
      </x:c>
      <x:c r="C7" s="8"/>
    </x:row>
    <x:row r="8" ht="48" hidden="0" customHeight="1">
      <x:c r="B8" s="15" t="s">
        <x:v>561</x:v>
      </x:c>
      <x:c r="C8" s="16" t="str">
        <x:f aca="0">IFERROR(IF(INDEX('01_Formulario'!$E$6:$E$151,MATCH("12.1",'01_Formulario'!$B$6:$B$151,0))="","— (a preencher em 01_Formulario)",INDEX('01_Formulario'!$E$6:$E$151,MATCH("12.1",'01_Formulario'!$B$6:$B$151,0))),"— (a preencher em 01_Formulario)")</x:f>
        <x:v>Usuário final neurodivergente, Creator, Oficina e agentes. Pessoas responsáveis e sponsor não identificados.</x:v>
      </x:c>
    </x:row>
    <x:row r="9" ht="48" hidden="0" customHeight="1">
      <x:c r="B9" s="15" t="s">
        <x:v>562</x:v>
      </x:c>
      <x:c r="C9" s="16" t="str">
        <x:f aca="0">IFERROR(IF(INDEX('01_Formulario'!$E$6:$E$151,MATCH("12.2",'01_Formulario'!$B$6:$B$151,0))="","— (a preencher em 01_Formulario)",INDEX('01_Formulario'!$E$6:$E$151,MATCH("12.2",'01_Formulario'!$B$6:$B$151,0))),"— (a preencher em 01_Formulario)")</x:f>
        <x:v>GitHub como fonte operacional; newsletter, comunidades e canais diretos para relacionamento.</x:v>
      </x:c>
    </x:row>
    <x:row r="10" ht="48" hidden="0" customHeight="1">
      <x:c r="B10" s="15" t="s">
        <x:v>563</x:v>
      </x:c>
      <x:c r="C10" s="16" t="str">
        <x:f aca="0">IFERROR(IF(INDEX('01_Formulario'!$E$6:$E$151,MATCH("12.3",'01_Formulario'!$B$6:$B$151,0))="","— (a preencher em 01_Formulario)",INDEX('01_Formulario'!$E$6:$E$151,MATCH("12.3",'01_Formulario'!$B$6:$B$151,0))),"— (a preencher em 01_Formulario)")</x:f>
        <x:v>Pendências: duração 15/17 dias, divergência dos códigos F5–F7 e fronteira entre componentes canônicos e propostas.</x:v>
      </x:c>
    </x:row>
    <x:row r="12" ht="19.5" hidden="0" customHeight="1">
      <x:c r="B12" s="3" t="s">
        <x:v>564</x:v>
      </x:c>
      <x:c r="C12" s="3"/>
    </x:row>
    <x:row r="13" ht="15.75" hidden="0" customHeight="1">
      <x:c r="B13" s="8" t="s">
        <x:v>565</x:v>
      </x:c>
      <x:c r="C13" s="8"/>
    </x:row>
    <x:row r="14" ht="48" hidden="0" customHeight="1">
      <x:c r="B14" s="15" t="s">
        <x:v>566</x:v>
      </x:c>
      <x:c r="C14" s="16" t="str">
        <x:f aca="0">IFERROR(IF(INDEX('01_Formulario'!$E$6:$E$151,MATCH("13.1",'01_Formulario'!$B$6:$B$151,0))="","— (a preencher em 01_Formulario)",INDEX('01_Formulario'!$E$6:$E$151,MATCH("13.1",'01_Formulario'!$B$6:$B$151,0))),"— (a preencher em 01_Formulario)")</x:f>
        <x:v>Runbook de campanha TP001 citado; produção: pesquisa → peça-mãe → derivação → adaptação → distribuição → medição → aprendizado.</x:v>
      </x:c>
    </x:row>
    <x:row r="15" ht="48" hidden="0" customHeight="1">
      <x:c r="B15" s="15" t="s">
        <x:v>567</x:v>
      </x:c>
      <x:c r="C15" s="16" t="str">
        <x:f aca="0">IFERROR(IF(INDEX('01_Formulario'!$E$6:$E$151,MATCH("13.2",'01_Formulario'!$B$6:$B$151,0))="","— (a preencher em 01_Formulario)",INDEX('01_Formulario'!$E$6:$E$151,MATCH("13.2",'01_Formulario'!$B$6:$B$151,0))),"— (a preencher em 01_Formulario)")</x:f>
        <x:v>Copiloto operacional apoia Creator; responsável humano por rotina a definir.</x:v>
      </x:c>
    </x:row>
    <x:row r="16" ht="48" hidden="0" customHeight="1">
      <x:c r="B16" s="15" t="s">
        <x:v>568</x:v>
      </x:c>
      <x:c r="C16" s="16" t="str">
        <x:f aca="0">IFERROR(IF(INDEX('01_Formulario'!$E$6:$E$151,MATCH("13.3",'01_Formulario'!$B$6:$B$151,0))="","— (a preencher em 01_Formulario)",INDEX('01_Formulario'!$E$6:$E$151,MATCH("13.3",'01_Formulario'!$B$6:$B$151,0))),"— (a preencher em 01_Formulario)")</x:f>
        <x:v>Process Doc e BPM/Qualidade citados, mas não anexados integralmente. Não comprovado como SOP vigente.</x:v>
      </x:c>
    </x:row>
    <x:row r="18" ht="19.5" hidden="0" customHeight="1">
      <x:c r="B18" s="3" t="s">
        <x:v>569</x:v>
      </x:c>
      <x:c r="C18" s="3"/>
    </x:row>
    <x:row r="19" ht="15.75" hidden="0" customHeight="1">
      <x:c r="B19" s="8" t="s">
        <x:v>570</x:v>
      </x:c>
      <x:c r="C19" s="8"/>
    </x:row>
    <x:row r="20" ht="48" hidden="0" customHeight="1">
      <x:c r="B20" s="15" t="s">
        <x:v>571</x:v>
      </x:c>
      <x:c r="C20" s="16" t="str">
        <x:f aca="0">IFERROR(IF(INDEX('01_Formulario'!$E$6:$E$151,MATCH("14.1",'01_Formulario'!$B$6:$B$151,0))="","— (a preencher em 01_Formulario)",INDEX('01_Formulario'!$E$6:$E$151,MATCH("14.1",'01_Formulario'!$B$6:$B$151,0))),"— (a preencher em 01_Formulario)")</x:f>
        <x:v>GTM fornecido; menciona corpus AIKB-0001–0016 e índice Knowledge Master. Conteúdo desses anexos não disponível nesta atualização.</x:v>
      </x:c>
    </x:row>
    <x:row r="21" ht="48" hidden="0" customHeight="1">
      <x:c r="B21" s="15" t="s">
        <x:v>572</x:v>
      </x:c>
      <x:c r="C21" s="16" t="str">
        <x:f aca="0">IFERROR(IF(INDEX('01_Formulario'!$E$6:$E$151,MATCH("14.2",'01_Formulario'!$B$6:$B$151,0))="","— (a preencher em 01_Formulario)",INDEX('01_Formulario'!$E$6:$E$151,MATCH("14.2",'01_Formulario'!$B$6:$B$151,0))),"— (a preencher em 01_Formulario)")</x:f>
        <x:v>Obter anexos canônicos e evidências; validar demanda e candidatos a Quick Framework; distinguir evidência de inferência.</x:v>
      </x:c>
    </x:row>
    <x:row r="22" ht="48" hidden="0" customHeight="1">
      <x:c r="B22" s="15" t="s">
        <x:v>573</x:v>
      </x:c>
      <x:c r="C22" s="16" t="str">
        <x:f aca="0">IFERROR(IF(INDEX('01_Formulario'!$E$6:$E$151,MATCH("14.3",'01_Formulario'!$B$6:$B$151,0))="","— (a preencher em 01_Formulario)",INDEX('01_Formulario'!$E$6:$E$151,MATCH("14.3",'01_Formulario'!$B$6:$B$151,0))),"— (a preencher em 01_Formulario)")</x:f>
        <x:v>Oito capacidades conceituais: Research, Strategy, Communication, Story, Experience, Visual, Growth e Governance. Não equivalem à lista de sete agentes.</x:v>
      </x:c>
    </x:row>
  </x:sheetData>
  <x:mergeCells>
    <x:mergeCell ref="B2:C2"/>
    <x:mergeCell ref="B3:C3"/>
    <x:mergeCell ref="B4:C4"/>
    <x:mergeCell ref="B6:C6"/>
    <x:mergeCell ref="B7:C7"/>
    <x:mergeCell ref="B12:C12"/>
    <x:mergeCell ref="B13:C13"/>
    <x:mergeCell ref="B18:C18"/>
    <x:mergeCell ref="B19:C1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ColWidth="8.6796875" defaultRowHeight="15"/>
  <x:cols>
    <x:col min="1" max="1" width="2.5" hidden="0" customWidth="1"/>
    <x:col min="2" max="2" width="30" hidden="0" customWidth="1"/>
    <x:col min="3" max="3" width="90" hidden="0" customWidth="1"/>
    <x:col min="4" max="4" width="2.5" hidden="0" customWidth="1"/>
  </x:cols>
  <x:sheetData>
    <x:row r="2" ht="30" hidden="0" customHeight="1">
      <x:c r="B2" s="1" t="s">
        <x:v>574</x:v>
      </x:c>
      <x:c r="C2" s="1"/>
    </x:row>
    <x:row r="3" ht="15" hidden="0">
      <x:c r="B3" s="2" t="s">
        <x:v>575</x:v>
      </x:c>
      <x:c r="C3" s="2"/>
    </x:row>
    <x:row r="4" ht="15" hidden="0">
      <x:c r="B4" s="14" t="s">
        <x:v>446</x:v>
      </x:c>
      <x:c r="C4" s="14"/>
    </x:row>
    <x:row r="6" ht="19.5" hidden="0" customHeight="1">
      <x:c r="B6" s="3" t="s">
        <x:v>576</x:v>
      </x:c>
      <x:c r="C6" s="3"/>
    </x:row>
    <x:row r="7" ht="15.75" hidden="0" customHeight="1">
      <x:c r="B7" s="8" t="s">
        <x:v>577</x:v>
      </x:c>
      <x:c r="C7" s="8"/>
    </x:row>
    <x:row r="8" ht="48" hidden="0" customHeight="1">
      <x:c r="B8" s="15" t="s">
        <x:v>578</x:v>
      </x:c>
      <x:c r="C8" s="16" t="str">
        <x:f aca="0">IFERROR(IF(INDEX('01_Formulario'!$E$6:$E$151,MATCH("15.1",'01_Formulario'!$B$6:$B$151,0))="","— (a preencher em 01_Formulario)",INDEX('01_Formulario'!$E$6:$E$151,MATCH("15.1",'01_Formulario'!$B$6:$B$151,0))),"— (a preencher em 01_Formulario)")</x:f>
        <x:v>copiloto-operacional, referido como único plugin de operações; caminho citado no GTM. Estado de instalação não verificado.</x:v>
      </x:c>
    </x:row>
    <x:row r="9" ht="48" hidden="0" customHeight="1">
      <x:c r="B9" s="15" t="s">
        <x:v>579</x:v>
      </x:c>
      <x:c r="C9" s="16" t="str">
        <x:f aca="0">IFERROR(IF(INDEX('01_Formulario'!$E$6:$E$151,MATCH("15.2",'01_Formulario'!$B$6:$B$151,0))="","— (a preencher em 01_Formulario)",INDEX('01_Formulario'!$E$6:$E$151,MATCH("15.2",'01_Formulario'!$B$6:$B$151,0))),"— (a preencher em 01_Formulario)")</x:f>
        <x:v>ActiveCampaign e distribuição citados; conexão efetiva não comprovada.</x:v>
      </x:c>
    </x:row>
    <x:row r="10" ht="48" hidden="0" customHeight="1">
      <x:c r="B10" s="15" t="s">
        <x:v>580</x:v>
      </x:c>
      <x:c r="C10" s="16" t="str">
        <x:f aca="0">IFERROR(IF(INDEX('01_Formulario'!$E$6:$E$151,MATCH("15.3",'01_Formulario'!$B$6:$B$151,0))="","— (a preencher em 01_Formulario)",INDEX('01_Formulario'!$E$6:$E$151,MATCH("15.3",'01_Formulario'!$B$6:$B$151,0))),"— (a preencher em 01_Formulario)")</x:f>
        <x:v>Formalizar executar-block-quickframeworks e integração Copiloto × Store; validar capacidades e ferramentas existentes.</x:v>
      </x:c>
    </x:row>
    <x:row r="12" ht="19.5" hidden="0" customHeight="1">
      <x:c r="B12" s="3" t="s">
        <x:v>581</x:v>
      </x:c>
      <x:c r="C12" s="3"/>
    </x:row>
    <x:row r="13" ht="15.75" hidden="0" customHeight="1">
      <x:c r="B13" s="8" t="s">
        <x:v>582</x:v>
      </x:c>
      <x:c r="C13" s="8"/>
    </x:row>
    <x:row r="14" ht="48" hidden="0" customHeight="1">
      <x:c r="B14" s="15" t="s">
        <x:v>583</x:v>
      </x:c>
      <x:c r="C14" s="16" t="str">
        <x:f aca="0">IFERROR(IF(INDEX('01_Formulario'!$E$6:$E$151,MATCH("16.1",'01_Formulario'!$B$6:$B$151,0))="","— (a preencher em 01_Formulario)",INDEX('01_Formulario'!$E$6:$E$151,MATCH("16.1",'01_Formulario'!$B$6:$B$151,0))),"— (a preencher em 01_Formulario)")</x:f>
        <x:v>GitHub para operação; CMS estruturado para conteúdo. Notion e demais entrypoints pendentes de papel definitivo.</x:v>
      </x:c>
    </x:row>
    <x:row r="15" ht="48" hidden="0" customHeight="1">
      <x:c r="B15" s="15" t="s">
        <x:v>584</x:v>
      </x:c>
      <x:c r="C15" s="16" t="str">
        <x:f aca="0">IFERROR(IF(INDEX('01_Formulario'!$E$6:$E$151,MATCH("16.2",'01_Formulario'!$B$6:$B$151,0))="","— (a preencher em 01_Formulario)",INDEX('01_Formulario'!$E$6:$E$151,MATCH("16.2",'01_Formulario'!$B$6:$B$151,0))),"— (a preencher em 01_Formulario)")</x:f>
        <x:v>https://github.com/Sas-Executar/OPS-Maestro/issues/1 — referência citada no GTM, não consultada nesta atualização.</x:v>
      </x:c>
    </x:row>
    <x:row r="16" ht="48" hidden="0" customHeight="1">
      <x:c r="B16" s="15" t="s">
        <x:v>585</x:v>
      </x:c>
      <x:c r="C16" s="16" t="str">
        <x:f aca="0">IFERROR(IF(INDEX('01_Formulario'!$E$6:$E$151,MATCH("16.3",'01_Formulario'!$B$6:$B$151,0))="","— (a preencher em 01_Formulario)",INDEX('01_Formulario'!$E$6:$E$151,MATCH("16.3",'01_Formulario'!$B$6:$B$151,0))),"— (a preencher em 01_Formulario)")</x:f>
        <x:v>Não informado no GTM. Definir antes da execução.</x:v>
      </x:c>
    </x:row>
    <x:row r="18" ht="19.5" hidden="0" customHeight="1">
      <x:c r="B18" s="3" t="s">
        <x:v>586</x:v>
      </x:c>
      <x:c r="C18" s="3"/>
    </x:row>
    <x:row r="19" ht="15.75" hidden="0" customHeight="1">
      <x:c r="B19" s="8" t="s">
        <x:v>587</x:v>
      </x:c>
      <x:c r="C19" s="8"/>
    </x:row>
    <x:row r="20" ht="48" hidden="0" customHeight="1">
      <x:c r="B20" s="15" t="s">
        <x:v>588</x:v>
      </x:c>
      <x:c r="C20" s="16" t="str">
        <x:f aca="0">IFERROR(IF(INDEX('01_Formulario'!$E$6:$E$151,MATCH("17.1",'01_Formulario'!$B$6:$B$151,0))="","— (a preencher em 01_Formulario)",INDEX('01_Formulario'!$E$6:$E$151,MATCH("17.1",'01_Formulario'!$B$6:$B$151,0))),"— (a preencher em 01_Formulario)")</x:f>
        <x:v>PROMPT MESTRE de pré-preenchimento é mencionado; texto canônico não fornecido.</x:v>
      </x:c>
    </x:row>
    <x:row r="21" ht="48" hidden="0" customHeight="1">
      <x:c r="B21" s="15" t="s">
        <x:v>589</x:v>
      </x:c>
      <x:c r="C21" s="16" t="str">
        <x:f aca="0">IFERROR(IF(INDEX('01_Formulario'!$E$6:$E$151,MATCH("17.2",'01_Formulario'!$B$6:$B$151,0))="","— (a preencher em 01_Formulario)",INDEX('01_Formulario'!$E$6:$E$151,MATCH("17.2",'01_Formulario'!$B$6:$B$151,0))),"— (a preencher em 01_Formulario)")</x:f>
        <x:v>A definir. Gatilhos concretos das skills e comandos operacionais não especificados.</x:v>
      </x:c>
    </x:row>
    <x:row r="22" ht="48" hidden="0" customHeight="1">
      <x:c r="B22" s="15" t="s">
        <x:v>590</x:v>
      </x:c>
      <x:c r="C22" s="16" t="str">
        <x:f aca="0">IFERROR(IF(INDEX('01_Formulario'!$E$6:$E$151,MATCH("17.3",'01_Formulario'!$B$6:$B$151,0))="","— (a preencher em 01_Formulario)",INDEX('01_Formulario'!$E$6:$E$151,MATCH("17.3",'01_Formulario'!$B$6:$B$151,0))),"— (a preencher em 01_Formulario)")</x:f>
        <x:v>Não apresentar candidato como publicado; nenhum claim factual sem Evidence_ID/Source_ID; marcar inferências e preservar proveniência.</x:v>
      </x:c>
    </x:row>
  </x:sheetData>
  <x:mergeCells>
    <x:mergeCell ref="B2:C2"/>
    <x:mergeCell ref="B3:C3"/>
    <x:mergeCell ref="B4:C4"/>
    <x:mergeCell ref="B6:C6"/>
    <x:mergeCell ref="B7:C7"/>
    <x:mergeCell ref="B12:C12"/>
    <x:mergeCell ref="B13:C13"/>
    <x:mergeCell ref="B18:C18"/>
    <x:mergeCell ref="B19:C19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8.6796875" defaultRowHeight="15"/>
  <x:cols>
    <x:col min="1" max="1" width="2.5" hidden="0" customWidth="1"/>
    <x:col min="2" max="2" width="7" hidden="0" customWidth="1"/>
    <x:col min="3" max="5" width="26" hidden="0" customWidth="1"/>
    <x:col min="6" max="6" width="2.5" hidden="0" customWidth="1"/>
  </x:cols>
  <x:sheetData>
    <x:row r="2" ht="30" hidden="0" customHeight="1">
      <x:c r="B2" s="1" t="s">
        <x:v>591</x:v>
      </x:c>
      <x:c r="C2" s="1"/>
      <x:c r="D2" s="1"/>
      <x:c r="E2" s="1"/>
    </x:row>
    <x:row r="3" ht="15" hidden="0">
      <x:c r="B3" s="2" t="s">
        <x:v>592</x:v>
      </x:c>
      <x:c r="C3" s="2"/>
      <x:c r="D3" s="2"/>
      <x:c r="E3" s="2"/>
    </x:row>
    <x:row r="5" ht="19.5" hidden="0" customHeight="1">
      <x:c r="B5" s="7" t="s">
        <x:v>32</x:v>
      </x:c>
      <x:c r="C5" s="7" t="s">
        <x:v>33</x:v>
      </x:c>
      <x:c r="D5" s="7" t="s">
        <x:v>593</x:v>
      </x:c>
      <x:c r="E5" s="7" t="s">
        <x:v>594</x:v>
      </x:c>
    </x:row>
    <x:row r="6" ht="15.75" hidden="0" customHeight="1">
      <x:c r="B6" s="9" t="s">
        <x:v>39</x:v>
      </x:c>
      <x:c r="C6" s="11" t="s">
        <x:v>40</x:v>
      </x:c>
      <x:c r="D6" s="17" t="s">
        <x:v>595</x:v>
      </x:c>
      <x:c r="E6" s="18" t="s">
        <x:v>596</x:v>
      </x:c>
    </x:row>
    <x:row r="7" ht="15.75" hidden="0" customHeight="1">
      <x:c r="B7" s="9" t="s">
        <x:v>43</x:v>
      </x:c>
      <x:c r="C7" s="11" t="s">
        <x:v>44</x:v>
      </x:c>
      <x:c r="D7" s="17" t="s">
        <x:v>595</x:v>
      </x:c>
      <x:c r="E7" s="18" t="s">
        <x:v>596</x:v>
      </x:c>
    </x:row>
    <x:row r="8" ht="15.75" hidden="0" customHeight="1">
      <x:c r="B8" s="9" t="s">
        <x:v>47</x:v>
      </x:c>
      <x:c r="C8" s="11" t="s">
        <x:v>48</x:v>
      </x:c>
      <x:c r="D8" s="17" t="s">
        <x:v>595</x:v>
      </x:c>
      <x:c r="E8" s="18" t="s">
        <x:v>596</x:v>
      </x:c>
    </x:row>
    <x:row r="9" ht="15.75" hidden="0" customHeight="1">
      <x:c r="B9" s="9" t="s">
        <x:v>51</x:v>
      </x:c>
      <x:c r="C9" s="11" t="s">
        <x:v>52</x:v>
      </x:c>
      <x:c r="D9" s="17" t="s">
        <x:v>595</x:v>
      </x:c>
      <x:c r="E9" s="18" t="s">
        <x:v>596</x:v>
      </x:c>
    </x:row>
    <x:row r="10" ht="15.75" hidden="0" customHeight="1">
      <x:c r="B10" s="9" t="s">
        <x:v>55</x:v>
      </x:c>
      <x:c r="C10" s="11" t="s">
        <x:v>56</x:v>
      </x:c>
      <x:c r="D10" s="17" t="s">
        <x:v>595</x:v>
      </x:c>
      <x:c r="E10" s="18" t="s">
        <x:v>596</x:v>
      </x:c>
    </x:row>
    <x:row r="11" ht="15.75" hidden="0" customHeight="1">
      <x:c r="B11" s="9" t="s">
        <x:v>59</x:v>
      </x:c>
      <x:c r="C11" s="11" t="s">
        <x:v>60</x:v>
      </x:c>
      <x:c r="D11" s="17" t="s">
        <x:v>595</x:v>
      </x:c>
      <x:c r="E11" s="18" t="s">
        <x:v>596</x:v>
      </x:c>
    </x:row>
    <x:row r="12" ht="15.75" hidden="0" customHeight="1">
      <x:c r="B12" s="9" t="s">
        <x:v>63</x:v>
      </x:c>
      <x:c r="C12" s="11" t="s">
        <x:v>64</x:v>
      </x:c>
      <x:c r="D12" s="17" t="s">
        <x:v>595</x:v>
      </x:c>
      <x:c r="E12" s="18" t="s">
        <x:v>596</x:v>
      </x:c>
    </x:row>
    <x:row r="13" ht="15.75" hidden="0" customHeight="1">
      <x:c r="B13" s="9" t="s">
        <x:v>67</x:v>
      </x:c>
      <x:c r="C13" s="11" t="s">
        <x:v>68</x:v>
      </x:c>
      <x:c r="D13" s="17" t="s">
        <x:v>595</x:v>
      </x:c>
      <x:c r="E13" s="18" t="s">
        <x:v>596</x:v>
      </x:c>
    </x:row>
    <x:row r="14" ht="15.75" hidden="0" customHeight="1">
      <x:c r="B14" s="9" t="s">
        <x:v>71</x:v>
      </x:c>
      <x:c r="C14" s="11" t="s">
        <x:v>72</x:v>
      </x:c>
      <x:c r="D14" s="17" t="s">
        <x:v>595</x:v>
      </x:c>
      <x:c r="E14" s="18" t="s">
        <x:v>596</x:v>
      </x:c>
    </x:row>
    <x:row r="15" ht="15.75" hidden="0" customHeight="1">
      <x:c r="B15" s="9" t="s">
        <x:v>75</x:v>
      </x:c>
      <x:c r="C15" s="11" t="s">
        <x:v>76</x:v>
      </x:c>
      <x:c r="D15" s="17" t="s">
        <x:v>595</x:v>
      </x:c>
      <x:c r="E15" s="18" t="s">
        <x:v>596</x:v>
      </x:c>
    </x:row>
    <x:row r="16" ht="15.75" hidden="0" customHeight="1">
      <x:c r="B16" s="9" t="s">
        <x:v>79</x:v>
      </x:c>
      <x:c r="C16" s="11" t="s">
        <x:v>80</x:v>
      </x:c>
      <x:c r="D16" s="17" t="s">
        <x:v>595</x:v>
      </x:c>
      <x:c r="E16" s="18" t="s">
        <x:v>596</x:v>
      </x:c>
    </x:row>
    <x:row r="17" ht="15.75" hidden="0" customHeight="1">
      <x:c r="B17" s="9" t="s">
        <x:v>83</x:v>
      </x:c>
      <x:c r="C17" s="11" t="s">
        <x:v>84</x:v>
      </x:c>
      <x:c r="D17" s="17" t="s">
        <x:v>595</x:v>
      </x:c>
      <x:c r="E17" s="18" t="s">
        <x:v>596</x:v>
      </x:c>
    </x:row>
    <x:row r="18" ht="15.75" hidden="0" customHeight="1">
      <x:c r="B18" s="9" t="s">
        <x:v>89</x:v>
      </x:c>
      <x:c r="C18" s="11" t="s">
        <x:v>90</x:v>
      </x:c>
      <x:c r="D18" s="17" t="s">
        <x:v>597</x:v>
      </x:c>
      <x:c r="E18" s="18" t="s">
        <x:v>596</x:v>
      </x:c>
    </x:row>
    <x:row r="19" ht="15.75" hidden="0" customHeight="1">
      <x:c r="B19" s="9" t="s">
        <x:v>93</x:v>
      </x:c>
      <x:c r="C19" s="11" t="s">
        <x:v>94</x:v>
      </x:c>
      <x:c r="D19" s="17" t="s">
        <x:v>597</x:v>
      </x:c>
      <x:c r="E19" s="18" t="s">
        <x:v>596</x:v>
      </x:c>
    </x:row>
    <x:row r="20" ht="15.75" hidden="0" customHeight="1">
      <x:c r="B20" s="9" t="s">
        <x:v>97</x:v>
      </x:c>
      <x:c r="C20" s="11" t="s">
        <x:v>98</x:v>
      </x:c>
      <x:c r="D20" s="17" t="s">
        <x:v>597</x:v>
      </x:c>
      <x:c r="E20" s="18" t="s">
        <x:v>596</x:v>
      </x:c>
    </x:row>
    <x:row r="21" ht="15.75" hidden="0" customHeight="1">
      <x:c r="B21" s="9" t="s">
        <x:v>101</x:v>
      </x:c>
      <x:c r="C21" s="11" t="s">
        <x:v>102</x:v>
      </x:c>
      <x:c r="D21" s="17" t="s">
        <x:v>597</x:v>
      </x:c>
      <x:c r="E21" s="18" t="s">
        <x:v>596</x:v>
      </x:c>
    </x:row>
    <x:row r="22" ht="15.75" hidden="0" customHeight="1">
      <x:c r="B22" s="9" t="s">
        <x:v>105</x:v>
      </x:c>
      <x:c r="C22" s="11" t="s">
        <x:v>106</x:v>
      </x:c>
      <x:c r="D22" s="17" t="s">
        <x:v>597</x:v>
      </x:c>
      <x:c r="E22" s="18" t="s">
        <x:v>596</x:v>
      </x:c>
    </x:row>
    <x:row r="23" ht="15.75" hidden="0" customHeight="1">
      <x:c r="B23" s="9" t="s">
        <x:v>109</x:v>
      </x:c>
      <x:c r="C23" s="11" t="s">
        <x:v>110</x:v>
      </x:c>
      <x:c r="D23" s="17" t="s">
        <x:v>597</x:v>
      </x:c>
      <x:c r="E23" s="18" t="s">
        <x:v>596</x:v>
      </x:c>
    </x:row>
    <x:row r="24" ht="15.75" hidden="0" customHeight="1">
      <x:c r="B24" s="9" t="s">
        <x:v>113</x:v>
      </x:c>
      <x:c r="C24" s="11" t="s">
        <x:v>114</x:v>
      </x:c>
      <x:c r="D24" s="17" t="s">
        <x:v>597</x:v>
      </x:c>
      <x:c r="E24" s="18" t="s">
        <x:v>596</x:v>
      </x:c>
    </x:row>
    <x:row r="25" ht="15.75" hidden="0" customHeight="1">
      <x:c r="B25" s="9" t="s">
        <x:v>117</x:v>
      </x:c>
      <x:c r="C25" s="11" t="s">
        <x:v>118</x:v>
      </x:c>
      <x:c r="D25" s="17" t="s">
        <x:v>597</x:v>
      </x:c>
      <x:c r="E25" s="18" t="s">
        <x:v>596</x:v>
      </x:c>
    </x:row>
    <x:row r="26" ht="15.75" hidden="0" customHeight="1">
      <x:c r="B26" s="9" t="s">
        <x:v>121</x:v>
      </x:c>
      <x:c r="C26" s="11" t="s">
        <x:v>122</x:v>
      </x:c>
      <x:c r="D26" s="17" t="s">
        <x:v>597</x:v>
      </x:c>
      <x:c r="E26" s="18" t="s">
        <x:v>596</x:v>
      </x:c>
    </x:row>
    <x:row r="27" ht="15.75" hidden="0" customHeight="1">
      <x:c r="B27" s="9" t="s">
        <x:v>125</x:v>
      </x:c>
      <x:c r="C27" s="11" t="s">
        <x:v>126</x:v>
      </x:c>
      <x:c r="D27" s="17" t="s">
        <x:v>597</x:v>
      </x:c>
      <x:c r="E27" s="18" t="s">
        <x:v>596</x:v>
      </x:c>
    </x:row>
    <x:row r="28" ht="15.75" hidden="0" customHeight="1">
      <x:c r="B28" s="9" t="s">
        <x:v>129</x:v>
      </x:c>
      <x:c r="C28" s="11" t="s">
        <x:v>130</x:v>
      </x:c>
      <x:c r="D28" s="17" t="s">
        <x:v>597</x:v>
      </x:c>
      <x:c r="E28" s="18" t="s">
        <x:v>596</x:v>
      </x:c>
    </x:row>
    <x:row r="29" ht="15.75" hidden="0" customHeight="1">
      <x:c r="B29" s="9" t="s">
        <x:v>133</x:v>
      </x:c>
      <x:c r="C29" s="11" t="s">
        <x:v>134</x:v>
      </x:c>
      <x:c r="D29" s="17" t="s">
        <x:v>597</x:v>
      </x:c>
      <x:c r="E29" s="18" t="s">
        <x:v>596</x:v>
      </x:c>
    </x:row>
    <x:row r="30" ht="15.75" hidden="0" customHeight="1">
      <x:c r="B30" s="9" t="s">
        <x:v>139</x:v>
      </x:c>
      <x:c r="C30" s="11" t="s">
        <x:v>140</x:v>
      </x:c>
      <x:c r="D30" s="17" t="s">
        <x:v>598</x:v>
      </x:c>
      <x:c r="E30" s="18" t="s">
        <x:v>599</x:v>
      </x:c>
    </x:row>
    <x:row r="31" ht="15.75" hidden="0" customHeight="1">
      <x:c r="B31" s="9" t="s">
        <x:v>143</x:v>
      </x:c>
      <x:c r="C31" s="11" t="s">
        <x:v>144</x:v>
      </x:c>
      <x:c r="D31" s="17" t="s">
        <x:v>598</x:v>
      </x:c>
      <x:c r="E31" s="18" t="s">
        <x:v>599</x:v>
      </x:c>
    </x:row>
    <x:row r="32" ht="15.75" hidden="0" customHeight="1">
      <x:c r="B32" s="9" t="s">
        <x:v>147</x:v>
      </x:c>
      <x:c r="C32" s="11" t="s">
        <x:v>148</x:v>
      </x:c>
      <x:c r="D32" s="17" t="s">
        <x:v>598</x:v>
      </x:c>
      <x:c r="E32" s="18" t="s">
        <x:v>599</x:v>
      </x:c>
    </x:row>
    <x:row r="33" ht="15.75" hidden="0" customHeight="1">
      <x:c r="B33" s="9" t="s">
        <x:v>151</x:v>
      </x:c>
      <x:c r="C33" s="11" t="s">
        <x:v>152</x:v>
      </x:c>
      <x:c r="D33" s="17" t="s">
        <x:v>598</x:v>
      </x:c>
      <x:c r="E33" s="18" t="s">
        <x:v>599</x:v>
      </x:c>
    </x:row>
    <x:row r="34" ht="15.75" hidden="0" customHeight="1">
      <x:c r="B34" s="9" t="s">
        <x:v>155</x:v>
      </x:c>
      <x:c r="C34" s="11" t="s">
        <x:v>156</x:v>
      </x:c>
      <x:c r="D34" s="17" t="s">
        <x:v>598</x:v>
      </x:c>
      <x:c r="E34" s="18" t="s">
        <x:v>599</x:v>
      </x:c>
    </x:row>
    <x:row r="35" ht="15.75" hidden="0" customHeight="1">
      <x:c r="B35" s="9" t="s">
        <x:v>159</x:v>
      </x:c>
      <x:c r="C35" s="11" t="s">
        <x:v>160</x:v>
      </x:c>
      <x:c r="D35" s="17" t="s">
        <x:v>598</x:v>
      </x:c>
      <x:c r="E35" s="18" t="s">
        <x:v>599</x:v>
      </x:c>
    </x:row>
    <x:row r="36" ht="15.75" hidden="0" customHeight="1">
      <x:c r="B36" s="9" t="s">
        <x:v>163</x:v>
      </x:c>
      <x:c r="C36" s="11" t="s">
        <x:v>164</x:v>
      </x:c>
      <x:c r="D36" s="17" t="s">
        <x:v>598</x:v>
      </x:c>
      <x:c r="E36" s="18" t="s">
        <x:v>599</x:v>
      </x:c>
    </x:row>
    <x:row r="37" ht="15.75" hidden="0" customHeight="1">
      <x:c r="B37" s="9" t="s">
        <x:v>167</x:v>
      </x:c>
      <x:c r="C37" s="11" t="s">
        <x:v>168</x:v>
      </x:c>
      <x:c r="D37" s="17" t="s">
        <x:v>598</x:v>
      </x:c>
      <x:c r="E37" s="18" t="s">
        <x:v>599</x:v>
      </x:c>
    </x:row>
    <x:row r="38" ht="15.75" hidden="0" customHeight="1">
      <x:c r="B38" s="9" t="s">
        <x:v>171</x:v>
      </x:c>
      <x:c r="C38" s="11" t="s">
        <x:v>172</x:v>
      </x:c>
      <x:c r="D38" s="17" t="s">
        <x:v>598</x:v>
      </x:c>
      <x:c r="E38" s="18" t="s">
        <x:v>599</x:v>
      </x:c>
    </x:row>
    <x:row r="39" ht="15.75" hidden="0" customHeight="1">
      <x:c r="B39" s="9" t="s">
        <x:v>175</x:v>
      </x:c>
      <x:c r="C39" s="11" t="s">
        <x:v>176</x:v>
      </x:c>
      <x:c r="D39" s="17" t="s">
        <x:v>598</x:v>
      </x:c>
      <x:c r="E39" s="18" t="s">
        <x:v>599</x:v>
      </x:c>
    </x:row>
    <x:row r="40" ht="15.75" hidden="0" customHeight="1">
      <x:c r="B40" s="9" t="s">
        <x:v>181</x:v>
      </x:c>
      <x:c r="C40" s="11" t="s">
        <x:v>182</x:v>
      </x:c>
      <x:c r="D40" s="17" t="s">
        <x:v>600</x:v>
      </x:c>
      <x:c r="E40" s="18" t="s">
        <x:v>599</x:v>
      </x:c>
    </x:row>
    <x:row r="41" ht="15.75" hidden="0" customHeight="1">
      <x:c r="B41" s="9" t="s">
        <x:v>185</x:v>
      </x:c>
      <x:c r="C41" s="11" t="s">
        <x:v>186</x:v>
      </x:c>
      <x:c r="D41" s="17" t="s">
        <x:v>600</x:v>
      </x:c>
      <x:c r="E41" s="18" t="s">
        <x:v>599</x:v>
      </x:c>
    </x:row>
    <x:row r="42" ht="15.75" hidden="0" customHeight="1">
      <x:c r="B42" s="9" t="s">
        <x:v>189</x:v>
      </x:c>
      <x:c r="C42" s="11" t="s">
        <x:v>190</x:v>
      </x:c>
      <x:c r="D42" s="17" t="s">
        <x:v>600</x:v>
      </x:c>
      <x:c r="E42" s="18" t="s">
        <x:v>599</x:v>
      </x:c>
    </x:row>
    <x:row r="43" ht="15.75" hidden="0" customHeight="1">
      <x:c r="B43" s="9" t="s">
        <x:v>193</x:v>
      </x:c>
      <x:c r="C43" s="11" t="s">
        <x:v>194</x:v>
      </x:c>
      <x:c r="D43" s="17" t="s">
        <x:v>600</x:v>
      </x:c>
      <x:c r="E43" s="18" t="s">
        <x:v>599</x:v>
      </x:c>
    </x:row>
    <x:row r="44" ht="15.75" hidden="0" customHeight="1">
      <x:c r="B44" s="9" t="s">
        <x:v>197</x:v>
      </x:c>
      <x:c r="C44" s="11" t="s">
        <x:v>198</x:v>
      </x:c>
      <x:c r="D44" s="17" t="s">
        <x:v>600</x:v>
      </x:c>
      <x:c r="E44" s="18" t="s">
        <x:v>599</x:v>
      </x:c>
    </x:row>
    <x:row r="45" ht="15.75" hidden="0" customHeight="1">
      <x:c r="B45" s="9" t="s">
        <x:v>201</x:v>
      </x:c>
      <x:c r="C45" s="11" t="s">
        <x:v>202</x:v>
      </x:c>
      <x:c r="D45" s="17" t="s">
        <x:v>600</x:v>
      </x:c>
      <x:c r="E45" s="18" t="s">
        <x:v>599</x:v>
      </x:c>
    </x:row>
    <x:row r="46" ht="15.75" hidden="0" customHeight="1">
      <x:c r="B46" s="9" t="s">
        <x:v>205</x:v>
      </x:c>
      <x:c r="C46" s="11" t="s">
        <x:v>206</x:v>
      </x:c>
      <x:c r="D46" s="17" t="s">
        <x:v>600</x:v>
      </x:c>
      <x:c r="E46" s="18" t="s">
        <x:v>599</x:v>
      </x:c>
    </x:row>
    <x:row r="47" ht="15.75" hidden="0" customHeight="1">
      <x:c r="B47" s="9" t="s">
        <x:v>209</x:v>
      </x:c>
      <x:c r="C47" s="11" t="s">
        <x:v>210</x:v>
      </x:c>
      <x:c r="D47" s="17" t="s">
        <x:v>600</x:v>
      </x:c>
      <x:c r="E47" s="18" t="s">
        <x:v>599</x:v>
      </x:c>
    </x:row>
    <x:row r="48" ht="15.75" hidden="0" customHeight="1">
      <x:c r="B48" s="9" t="s">
        <x:v>215</x:v>
      </x:c>
      <x:c r="C48" s="11" t="s">
        <x:v>216</x:v>
      </x:c>
      <x:c r="D48" s="17" t="s">
        <x:v>601</x:v>
      </x:c>
      <x:c r="E48" s="18" t="s">
        <x:v>602</x:v>
      </x:c>
    </x:row>
    <x:row r="49" ht="15.75" hidden="0" customHeight="1">
      <x:c r="B49" s="9" t="s">
        <x:v>219</x:v>
      </x:c>
      <x:c r="C49" s="11" t="s">
        <x:v>220</x:v>
      </x:c>
      <x:c r="D49" s="17" t="s">
        <x:v>601</x:v>
      </x:c>
      <x:c r="E49" s="18" t="s">
        <x:v>602</x:v>
      </x:c>
    </x:row>
    <x:row r="50" ht="15.75" hidden="0" customHeight="1">
      <x:c r="B50" s="9" t="s">
        <x:v>223</x:v>
      </x:c>
      <x:c r="C50" s="11" t="s">
        <x:v>224</x:v>
      </x:c>
      <x:c r="D50" s="17" t="s">
        <x:v>601</x:v>
      </x:c>
      <x:c r="E50" s="18" t="s">
        <x:v>602</x:v>
      </x:c>
    </x:row>
    <x:row r="51" ht="15.75" hidden="0" customHeight="1">
      <x:c r="B51" s="9" t="s">
        <x:v>227</x:v>
      </x:c>
      <x:c r="C51" s="11" t="s">
        <x:v>228</x:v>
      </x:c>
      <x:c r="D51" s="17" t="s">
        <x:v>601</x:v>
      </x:c>
      <x:c r="E51" s="18" t="s">
        <x:v>602</x:v>
      </x:c>
    </x:row>
    <x:row r="52" ht="15.75" hidden="0" customHeight="1">
      <x:c r="B52" s="9" t="s">
        <x:v>231</x:v>
      </x:c>
      <x:c r="C52" s="11" t="s">
        <x:v>232</x:v>
      </x:c>
      <x:c r="D52" s="17" t="s">
        <x:v>601</x:v>
      </x:c>
      <x:c r="E52" s="18" t="s">
        <x:v>602</x:v>
      </x:c>
    </x:row>
    <x:row r="53" ht="15.75" hidden="0" customHeight="1">
      <x:c r="B53" s="9" t="s">
        <x:v>235</x:v>
      </x:c>
      <x:c r="C53" s="11" t="s">
        <x:v>236</x:v>
      </x:c>
      <x:c r="D53" s="17" t="s">
        <x:v>601</x:v>
      </x:c>
      <x:c r="E53" s="18" t="s">
        <x:v>602</x:v>
      </x:c>
    </x:row>
    <x:row r="54" ht="15.75" hidden="0" customHeight="1">
      <x:c r="B54" s="9" t="s">
        <x:v>241</x:v>
      </x:c>
      <x:c r="C54" s="11" t="s">
        <x:v>242</x:v>
      </x:c>
      <x:c r="D54" s="17" t="s">
        <x:v>603</x:v>
      </x:c>
      <x:c r="E54" s="18" t="s">
        <x:v>602</x:v>
      </x:c>
    </x:row>
    <x:row r="55" ht="15.75" hidden="0" customHeight="1">
      <x:c r="B55" s="9" t="s">
        <x:v>245</x:v>
      </x:c>
      <x:c r="C55" s="11" t="s">
        <x:v>246</x:v>
      </x:c>
      <x:c r="D55" s="17" t="s">
        <x:v>603</x:v>
      </x:c>
      <x:c r="E55" s="18" t="s">
        <x:v>602</x:v>
      </x:c>
    </x:row>
    <x:row r="56" ht="15.75" hidden="0" customHeight="1">
      <x:c r="B56" s="9" t="s">
        <x:v>249</x:v>
      </x:c>
      <x:c r="C56" s="11" t="s">
        <x:v>250</x:v>
      </x:c>
      <x:c r="D56" s="17" t="s">
        <x:v>603</x:v>
      </x:c>
      <x:c r="E56" s="18" t="s">
        <x:v>602</x:v>
      </x:c>
    </x:row>
    <x:row r="57" ht="15.75" hidden="0" customHeight="1">
      <x:c r="B57" s="9" t="s">
        <x:v>253</x:v>
      </x:c>
      <x:c r="C57" s="11" t="s">
        <x:v>254</x:v>
      </x:c>
      <x:c r="D57" s="17" t="s">
        <x:v>603</x:v>
      </x:c>
      <x:c r="E57" s="18" t="s">
        <x:v>602</x:v>
      </x:c>
    </x:row>
    <x:row r="58" ht="15.75" hidden="0" customHeight="1">
      <x:c r="B58" s="9" t="s">
        <x:v>257</x:v>
      </x:c>
      <x:c r="C58" s="11" t="s">
        <x:v>258</x:v>
      </x:c>
      <x:c r="D58" s="17" t="s">
        <x:v>603</x:v>
      </x:c>
      <x:c r="E58" s="18" t="s">
        <x:v>602</x:v>
      </x:c>
    </x:row>
    <x:row r="59" ht="15.75" hidden="0" customHeight="1">
      <x:c r="B59" s="9" t="s">
        <x:v>261</x:v>
      </x:c>
      <x:c r="C59" s="11" t="s">
        <x:v>262</x:v>
      </x:c>
      <x:c r="D59" s="17" t="s">
        <x:v>603</x:v>
      </x:c>
      <x:c r="E59" s="18" t="s">
        <x:v>602</x:v>
      </x:c>
    </x:row>
    <x:row r="60" ht="15.75" hidden="0" customHeight="1">
      <x:c r="B60" s="9" t="s">
        <x:v>267</x:v>
      </x:c>
      <x:c r="C60" s="11" t="s">
        <x:v>268</x:v>
      </x:c>
      <x:c r="D60" s="17" t="s">
        <x:v>604</x:v>
      </x:c>
      <x:c r="E60" s="18" t="s">
        <x:v>602</x:v>
      </x:c>
    </x:row>
    <x:row r="61" ht="15.75" hidden="0" customHeight="1">
      <x:c r="B61" s="9" t="s">
        <x:v>271</x:v>
      </x:c>
      <x:c r="C61" s="11" t="s">
        <x:v>272</x:v>
      </x:c>
      <x:c r="D61" s="17" t="s">
        <x:v>604</x:v>
      </x:c>
      <x:c r="E61" s="18" t="s">
        <x:v>602</x:v>
      </x:c>
    </x:row>
    <x:row r="62" ht="15.75" hidden="0" customHeight="1">
      <x:c r="B62" s="9" t="s">
        <x:v>275</x:v>
      </x:c>
      <x:c r="C62" s="11" t="s">
        <x:v>276</x:v>
      </x:c>
      <x:c r="D62" s="17" t="s">
        <x:v>604</x:v>
      </x:c>
      <x:c r="E62" s="18" t="s">
        <x:v>602</x:v>
      </x:c>
    </x:row>
    <x:row r="63" ht="15.75" hidden="0" customHeight="1">
      <x:c r="B63" s="9" t="s">
        <x:v>279</x:v>
      </x:c>
      <x:c r="C63" s="11" t="s">
        <x:v>280</x:v>
      </x:c>
      <x:c r="D63" s="17" t="s">
        <x:v>604</x:v>
      </x:c>
      <x:c r="E63" s="18" t="s">
        <x:v>602</x:v>
      </x:c>
    </x:row>
    <x:row r="64" ht="15.75" hidden="0" customHeight="1">
      <x:c r="B64" s="9" t="s">
        <x:v>283</x:v>
      </x:c>
      <x:c r="C64" s="11" t="s">
        <x:v>284</x:v>
      </x:c>
      <x:c r="D64" s="17" t="s">
        <x:v>604</x:v>
      </x:c>
      <x:c r="E64" s="18" t="s">
        <x:v>602</x:v>
      </x:c>
    </x:row>
    <x:row r="65" ht="15.75" hidden="0" customHeight="1">
      <x:c r="B65" s="9" t="s">
        <x:v>289</x:v>
      </x:c>
      <x:c r="C65" s="11" t="s">
        <x:v>290</x:v>
      </x:c>
      <x:c r="D65" s="17" t="s">
        <x:v>605</x:v>
      </x:c>
      <x:c r="E65" s="18" t="s">
        <x:v>606</x:v>
      </x:c>
    </x:row>
    <x:row r="66" ht="15.75" hidden="0" customHeight="1">
      <x:c r="B66" s="9" t="s">
        <x:v>293</x:v>
      </x:c>
      <x:c r="C66" s="11" t="s">
        <x:v>294</x:v>
      </x:c>
      <x:c r="D66" s="17" t="s">
        <x:v>605</x:v>
      </x:c>
      <x:c r="E66" s="18" t="s">
        <x:v>606</x:v>
      </x:c>
    </x:row>
    <x:row r="67" ht="15.75" hidden="0" customHeight="1">
      <x:c r="B67" s="9" t="s">
        <x:v>297</x:v>
      </x:c>
      <x:c r="C67" s="11" t="s">
        <x:v>298</x:v>
      </x:c>
      <x:c r="D67" s="17" t="s">
        <x:v>605</x:v>
      </x:c>
      <x:c r="E67" s="18" t="s">
        <x:v>606</x:v>
      </x:c>
    </x:row>
    <x:row r="68" ht="15.75" hidden="0" customHeight="1">
      <x:c r="B68" s="9" t="s">
        <x:v>301</x:v>
      </x:c>
      <x:c r="C68" s="11" t="s">
        <x:v>302</x:v>
      </x:c>
      <x:c r="D68" s="17" t="s">
        <x:v>605</x:v>
      </x:c>
      <x:c r="E68" s="18" t="s">
        <x:v>606</x:v>
      </x:c>
    </x:row>
    <x:row r="69" ht="15.75" hidden="0" customHeight="1">
      <x:c r="B69" s="9" t="s">
        <x:v>305</x:v>
      </x:c>
      <x:c r="C69" s="11" t="s">
        <x:v>306</x:v>
      </x:c>
      <x:c r="D69" s="17" t="s">
        <x:v>605</x:v>
      </x:c>
      <x:c r="E69" s="18" t="s">
        <x:v>606</x:v>
      </x:c>
    </x:row>
    <x:row r="70" ht="15.75" hidden="0" customHeight="1">
      <x:c r="B70" s="9" t="s">
        <x:v>311</x:v>
      </x:c>
      <x:c r="C70" s="11" t="s">
        <x:v>312</x:v>
      </x:c>
      <x:c r="D70" s="17" t="s">
        <x:v>607</x:v>
      </x:c>
      <x:c r="E70" s="18" t="s">
        <x:v>606</x:v>
      </x:c>
    </x:row>
    <x:row r="71" ht="15.75" hidden="0" customHeight="1">
      <x:c r="B71" s="9" t="s">
        <x:v>315</x:v>
      </x:c>
      <x:c r="C71" s="11" t="s">
        <x:v>316</x:v>
      </x:c>
      <x:c r="D71" s="17" t="s">
        <x:v>607</x:v>
      </x:c>
      <x:c r="E71" s="18" t="s">
        <x:v>606</x:v>
      </x:c>
    </x:row>
    <x:row r="72" ht="15.75" hidden="0" customHeight="1">
      <x:c r="B72" s="9" t="s">
        <x:v>319</x:v>
      </x:c>
      <x:c r="C72" s="11" t="s">
        <x:v>320</x:v>
      </x:c>
      <x:c r="D72" s="17" t="s">
        <x:v>607</x:v>
      </x:c>
      <x:c r="E72" s="18" t="s">
        <x:v>606</x:v>
      </x:c>
    </x:row>
    <x:row r="73" ht="15.75" hidden="0" customHeight="1">
      <x:c r="B73" s="9" t="s">
        <x:v>323</x:v>
      </x:c>
      <x:c r="C73" s="11" t="s">
        <x:v>324</x:v>
      </x:c>
      <x:c r="D73" s="17" t="s">
        <x:v>607</x:v>
      </x:c>
      <x:c r="E73" s="18" t="s">
        <x:v>606</x:v>
      </x:c>
    </x:row>
    <x:row r="74" ht="15.75" hidden="0" customHeight="1">
      <x:c r="B74" s="9" t="s">
        <x:v>329</x:v>
      </x:c>
      <x:c r="C74" s="11" t="s">
        <x:v>330</x:v>
      </x:c>
      <x:c r="D74" s="17" t="s">
        <x:v>608</x:v>
      </x:c>
      <x:c r="E74" s="18" t="s">
        <x:v>609</x:v>
      </x:c>
    </x:row>
    <x:row r="75" ht="15.75" hidden="0" customHeight="1">
      <x:c r="B75" s="9" t="s">
        <x:v>333</x:v>
      </x:c>
      <x:c r="C75" s="11" t="s">
        <x:v>334</x:v>
      </x:c>
      <x:c r="D75" s="17" t="s">
        <x:v>608</x:v>
      </x:c>
      <x:c r="E75" s="18" t="s">
        <x:v>609</x:v>
      </x:c>
    </x:row>
    <x:row r="76" ht="15.75" hidden="0" customHeight="1">
      <x:c r="B76" s="9" t="s">
        <x:v>337</x:v>
      </x:c>
      <x:c r="C76" s="11" t="s">
        <x:v>338</x:v>
      </x:c>
      <x:c r="D76" s="17" t="s">
        <x:v>608</x:v>
      </x:c>
      <x:c r="E76" s="18" t="s">
        <x:v>609</x:v>
      </x:c>
    </x:row>
    <x:row r="77" ht="15.75" hidden="0" customHeight="1">
      <x:c r="B77" s="9" t="s">
        <x:v>341</x:v>
      </x:c>
      <x:c r="C77" s="11" t="s">
        <x:v>342</x:v>
      </x:c>
      <x:c r="D77" s="17" t="s">
        <x:v>608</x:v>
      </x:c>
      <x:c r="E77" s="18" t="s">
        <x:v>609</x:v>
      </x:c>
    </x:row>
    <x:row r="78" ht="15.75" hidden="0" customHeight="1">
      <x:c r="B78" s="9" t="s">
        <x:v>347</x:v>
      </x:c>
      <x:c r="C78" s="11" t="s">
        <x:v>348</x:v>
      </x:c>
      <x:c r="D78" s="17" t="s">
        <x:v>610</x:v>
      </x:c>
      <x:c r="E78" s="18" t="s">
        <x:v>609</x:v>
      </x:c>
    </x:row>
    <x:row r="79" ht="15.75" hidden="0" customHeight="1">
      <x:c r="B79" s="9" t="s">
        <x:v>351</x:v>
      </x:c>
      <x:c r="C79" s="11" t="s">
        <x:v>352</x:v>
      </x:c>
      <x:c r="D79" s="17" t="s">
        <x:v>610</x:v>
      </x:c>
      <x:c r="E79" s="18" t="s">
        <x:v>609</x:v>
      </x:c>
    </x:row>
    <x:row r="80" ht="15.75" hidden="0" customHeight="1">
      <x:c r="B80" s="9" t="s">
        <x:v>355</x:v>
      </x:c>
      <x:c r="C80" s="11" t="s">
        <x:v>356</x:v>
      </x:c>
      <x:c r="D80" s="17" t="s">
        <x:v>610</x:v>
      </x:c>
      <x:c r="E80" s="18" t="s">
        <x:v>609</x:v>
      </x:c>
    </x:row>
    <x:row r="81" ht="15.75" hidden="0" customHeight="1">
      <x:c r="B81" s="9" t="s">
        <x:v>359</x:v>
      </x:c>
      <x:c r="C81" s="11" t="s">
        <x:v>360</x:v>
      </x:c>
      <x:c r="D81" s="17" t="s">
        <x:v>610</x:v>
      </x:c>
      <x:c r="E81" s="18" t="s">
        <x:v>609</x:v>
      </x:c>
    </x:row>
    <x:row r="82" ht="15.75" hidden="0" customHeight="1">
      <x:c r="B82" s="9" t="s">
        <x:v>365</x:v>
      </x:c>
      <x:c r="C82" s="11" t="s">
        <x:v>366</x:v>
      </x:c>
      <x:c r="D82" s="17" t="s">
        <x:v>611</x:v>
      </x:c>
      <x:c r="E82" s="18" t="s">
        <x:v>612</x:v>
      </x:c>
    </x:row>
    <x:row r="83" ht="15.75" hidden="0" customHeight="1">
      <x:c r="B83" s="9" t="s">
        <x:v>369</x:v>
      </x:c>
      <x:c r="C83" s="11" t="s">
        <x:v>370</x:v>
      </x:c>
      <x:c r="D83" s="17" t="s">
        <x:v>611</x:v>
      </x:c>
      <x:c r="E83" s="18" t="s">
        <x:v>612</x:v>
      </x:c>
    </x:row>
    <x:row r="84" ht="15.75" hidden="0" customHeight="1">
      <x:c r="B84" s="9" t="s">
        <x:v>373</x:v>
      </x:c>
      <x:c r="C84" s="11" t="s">
        <x:v>374</x:v>
      </x:c>
      <x:c r="D84" s="17" t="s">
        <x:v>611</x:v>
      </x:c>
      <x:c r="E84" s="18" t="s">
        <x:v>612</x:v>
      </x:c>
    </x:row>
    <x:row r="85" ht="15.75" hidden="0" customHeight="1">
      <x:c r="B85" s="9" t="s">
        <x:v>379</x:v>
      </x:c>
      <x:c r="C85" s="11" t="s">
        <x:v>380</x:v>
      </x:c>
      <x:c r="D85" s="17" t="s">
        <x:v>613</x:v>
      </x:c>
      <x:c r="E85" s="18" t="s">
        <x:v>612</x:v>
      </x:c>
    </x:row>
    <x:row r="86" ht="15.75" hidden="0" customHeight="1">
      <x:c r="B86" s="9" t="s">
        <x:v>383</x:v>
      </x:c>
      <x:c r="C86" s="11" t="s">
        <x:v>384</x:v>
      </x:c>
      <x:c r="D86" s="17" t="s">
        <x:v>613</x:v>
      </x:c>
      <x:c r="E86" s="18" t="s">
        <x:v>612</x:v>
      </x:c>
    </x:row>
    <x:row r="87" ht="15.75" hidden="0" customHeight="1">
      <x:c r="B87" s="9" t="s">
        <x:v>387</x:v>
      </x:c>
      <x:c r="C87" s="11" t="s">
        <x:v>388</x:v>
      </x:c>
      <x:c r="D87" s="17" t="s">
        <x:v>613</x:v>
      </x:c>
      <x:c r="E87" s="18" t="s">
        <x:v>612</x:v>
      </x:c>
    </x:row>
    <x:row r="88" ht="15.75" hidden="0" customHeight="1">
      <x:c r="B88" s="9" t="s">
        <x:v>393</x:v>
      </x:c>
      <x:c r="C88" s="11" t="s">
        <x:v>394</x:v>
      </x:c>
      <x:c r="D88" s="17" t="s">
        <x:v>614</x:v>
      </x:c>
      <x:c r="E88" s="18" t="s">
        <x:v>612</x:v>
      </x:c>
    </x:row>
    <x:row r="89" ht="15.75" hidden="0" customHeight="1">
      <x:c r="B89" s="9" t="s">
        <x:v>397</x:v>
      </x:c>
      <x:c r="C89" s="11" t="s">
        <x:v>398</x:v>
      </x:c>
      <x:c r="D89" s="17" t="s">
        <x:v>614</x:v>
      </x:c>
      <x:c r="E89" s="18" t="s">
        <x:v>612</x:v>
      </x:c>
    </x:row>
    <x:row r="90" ht="15.75" hidden="0" customHeight="1">
      <x:c r="B90" s="9" t="s">
        <x:v>401</x:v>
      </x:c>
      <x:c r="C90" s="11" t="s">
        <x:v>402</x:v>
      </x:c>
      <x:c r="D90" s="17" t="s">
        <x:v>614</x:v>
      </x:c>
      <x:c r="E90" s="18" t="s">
        <x:v>612</x:v>
      </x:c>
    </x:row>
    <x:row r="91" ht="15.75" hidden="0" customHeight="1">
      <x:c r="B91" s="9" t="s">
        <x:v>407</x:v>
      </x:c>
      <x:c r="C91" s="11" t="s">
        <x:v>408</x:v>
      </x:c>
      <x:c r="D91" s="17" t="s">
        <x:v>615</x:v>
      </x:c>
      <x:c r="E91" s="18" t="s">
        <x:v>616</x:v>
      </x:c>
    </x:row>
    <x:row r="92" ht="15.75" hidden="0" customHeight="1">
      <x:c r="B92" s="9" t="s">
        <x:v>411</x:v>
      </x:c>
      <x:c r="C92" s="11" t="s">
        <x:v>412</x:v>
      </x:c>
      <x:c r="D92" s="17" t="s">
        <x:v>615</x:v>
      </x:c>
      <x:c r="E92" s="18" t="s">
        <x:v>616</x:v>
      </x:c>
    </x:row>
    <x:row r="93" ht="15.75" hidden="0" customHeight="1">
      <x:c r="B93" s="9" t="s">
        <x:v>415</x:v>
      </x:c>
      <x:c r="C93" s="11" t="s">
        <x:v>416</x:v>
      </x:c>
      <x:c r="D93" s="17" t="s">
        <x:v>615</x:v>
      </x:c>
      <x:c r="E93" s="18" t="s">
        <x:v>616</x:v>
      </x:c>
    </x:row>
    <x:row r="94" ht="15.75" hidden="0" customHeight="1">
      <x:c r="B94" s="9" t="s">
        <x:v>420</x:v>
      </x:c>
      <x:c r="C94" s="11" t="s">
        <x:v>421</x:v>
      </x:c>
      <x:c r="D94" s="17" t="s">
        <x:v>617</x:v>
      </x:c>
      <x:c r="E94" s="18" t="s">
        <x:v>616</x:v>
      </x:c>
    </x:row>
    <x:row r="95" ht="15.75" hidden="0" customHeight="1">
      <x:c r="B95" s="9" t="s">
        <x:v>424</x:v>
      </x:c>
      <x:c r="C95" s="11" t="s">
        <x:v>425</x:v>
      </x:c>
      <x:c r="D95" s="17" t="s">
        <x:v>617</x:v>
      </x:c>
      <x:c r="E95" s="18" t="s">
        <x:v>616</x:v>
      </x:c>
    </x:row>
    <x:row r="96" ht="15.75" hidden="0" customHeight="1">
      <x:c r="B96" s="9" t="s">
        <x:v>427</x:v>
      </x:c>
      <x:c r="C96" s="11" t="s">
        <x:v>428</x:v>
      </x:c>
      <x:c r="D96" s="17" t="s">
        <x:v>617</x:v>
      </x:c>
      <x:c r="E96" s="18" t="s">
        <x:v>616</x:v>
      </x:c>
    </x:row>
    <x:row r="97" ht="15.75" hidden="0" customHeight="1">
      <x:c r="B97" s="9" t="s">
        <x:v>433</x:v>
      </x:c>
      <x:c r="C97" s="11" t="s">
        <x:v>434</x:v>
      </x:c>
      <x:c r="D97" s="17" t="s">
        <x:v>618</x:v>
      </x:c>
      <x:c r="E97" s="18" t="s">
        <x:v>616</x:v>
      </x:c>
    </x:row>
    <x:row r="98" ht="15.75" hidden="0" customHeight="1">
      <x:c r="B98" s="9" t="s">
        <x:v>437</x:v>
      </x:c>
      <x:c r="C98" s="11" t="s">
        <x:v>438</x:v>
      </x:c>
      <x:c r="D98" s="17" t="s">
        <x:v>618</x:v>
      </x:c>
      <x:c r="E98" s="18" t="s">
        <x:v>616</x:v>
      </x:c>
    </x:row>
    <x:row r="99" ht="15.75" hidden="0" customHeight="1">
      <x:c r="B99" s="9" t="s">
        <x:v>440</x:v>
      </x:c>
      <x:c r="C99" s="11" t="s">
        <x:v>441</x:v>
      </x:c>
      <x:c r="D99" s="17" t="s">
        <x:v>618</x:v>
      </x:c>
      <x:c r="E99" s="18" t="s">
        <x:v>616</x:v>
      </x:c>
    </x:row>
  </x:sheetData>
  <x:mergeCells>
    <x:mergeCell ref="B2:E2"/>
    <x:mergeCell ref="B3:E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7" hidden="0" customWidth="1"/>
    <x:col min="4" max="4" width="56" hidden="0" customWidth="1"/>
    <x:col min="5" max="5" width="20" hidden="0" customWidth="1"/>
    <x:col min="6" max="6" width="23" hidden="0" customWidth="1"/>
    <x:col min="7" max="7" width="18" hidden="0" customWidth="1"/>
    <x:col min="8" max="8" width="16" hidden="0" customWidth="1"/>
    <x:col min="9" max="9" width="21" hidden="0" customWidth="1"/>
    <x:col min="10" max="10" width="24" hidden="0" customWidth="1"/>
  </x:cols>
  <x:sheetData>
    <x:row r="1">
      <x:c r="A1" s="24"/>
      <x:c r="B1" s="24"/>
      <x:c r="C1" s="24"/>
      <x:c r="D1" s="24"/>
      <x:c r="E1" s="24"/>
      <x:c r="F1" s="24"/>
      <x:c r="G1" s="24"/>
      <x:c r="H1" s="24"/>
      <x:c r="I1" s="24"/>
      <x:c r="J1" s="24"/>
    </x:row>
    <x:row r="2">
      <x:c r="A2" s="26" t="str">
        <x:v>Lançamento Blog Risco Cognitivo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3">
      <x:c r="A3" s="24" t="str">
        <x:v>Avanço mede conclusões registradas com evidência e data; situação real ainda precisa ser confirmada.</x:v>
      </x:c>
      <x:c r="B3" s="24"/>
      <x:c r="C3" s="24"/>
      <x:c r="D3" s="24"/>
      <x:c r="E3" s="24"/>
      <x:c r="F3" s="24"/>
      <x:c r="G3" s="24"/>
      <x:c r="H3" s="24"/>
      <x:c r="I3" s="24"/>
      <x:c r="J3" s="24"/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  <x:c r="J4" s="24"/>
    </x:row>
    <x:row r="5" ht="32" customHeight="1">
      <x:c r="A5" s="32" t="str">
        <x:v>Area_ID</x:v>
      </x:c>
      <x:c r="B5" s="32" t="str">
        <x:v>Área</x:v>
      </x:c>
      <x:c r="C5" s="32" t="str">
        <x:v>Objetivo_ID</x:v>
      </x:c>
      <x:c r="D5" s="32" t="str">
        <x:v>Objetivo</x:v>
      </x:c>
      <x:c r="E5" s="32" t="str">
        <x:v>Itens obrigatórios</x:v>
      </x:c>
      <x:c r="F5" s="32" t="str">
        <x:v>Conclusões confirmadas</x:v>
      </x:c>
      <x:c r="G5" s="32" t="str">
        <x:v>A confirmar</x:v>
      </x:c>
      <x:c r="H5" s="32" t="str">
        <x:v>Bloqueados</x:v>
      </x:c>
      <x:c r="I5" s="32" t="str">
        <x:v>Avanço confirmado</x:v>
      </x:c>
      <x:c r="J5" s="32" t="str">
        <x:v>Fonte_ID</x:v>
      </x:c>
    </x:row>
    <x:row r="6" ht="34" customHeight="1">
      <x:c r="A6" s="33" t="str">
        <x:v>AR-00</x:v>
      </x:c>
      <x:c r="B6" s="33" t="str">
        <x:v>Estratégia e governança</x:v>
      </x:c>
      <x:c r="C6" s="33" t="str">
        <x:v>OBJ-00</x:v>
      </x:c>
      <x:c r="D6" s="33" t="str">
        <x:v>Validar demanda e controlar escopo do lançamento</x:v>
      </x:c>
      <x:c r="E6" s="33" t="n">
        <x:f>COUNTIFS('11_Plano_Projeto'!$B$6:$B$216,A6,'11_Plano_Projeto'!$H$6:$H$216,"Obrigatório")</x:f>
        <x:v>9</x:v>
      </x:c>
      <x:c r="F6" s="33" t="n">
        <x:f>COUNTIFS('11_Plano_Projeto'!$B$6:$B$216,A6,'11_Plano_Projeto'!$H$6:$H$216,"Obrigatório",'11_Plano_Projeto'!$T$6:$T$216,"Confirmada")</x:f>
        <x:v>0</x:v>
      </x:c>
      <x:c r="G6" s="33" t="n">
        <x:f>COUNTIFS('11_Plano_Projeto'!$B$6:$B$216,A6,'11_Plano_Projeto'!$H$6:$H$216,"Obrigatório",'11_Plano_Projeto'!$I$6:$I$216,"A confirmar")</x:f>
        <x:v>9</x:v>
      </x:c>
      <x:c r="H6" s="33" t="n">
        <x:f>COUNTIFS('11_Plano_Projeto'!$B$6:$B$216,A6,'11_Plano_Projeto'!$H$6:$H$216,"Obrigatório",'11_Plano_Projeto'!$I$6:$I$216,"Bloqueada")</x:f>
        <x:v>0</x:v>
      </x:c>
      <x:c r="I6" s="36" t="n">
        <x:f>IF(E6=0,"",F6/E6)</x:f>
        <x:v>0</x:v>
      </x:c>
      <x:c r="J6" s="33" t="str">
        <x:v>GTM-01</x:v>
      </x:c>
    </x:row>
    <x:row r="7" ht="34" customHeight="1">
      <x:c r="A7" s="33" t="str">
        <x:v>AR-01</x:v>
      </x:c>
      <x:c r="B7" s="33" t="str">
        <x:v>Blog e infraestrutura</x:v>
      </x:c>
      <x:c r="C7" s="33" t="str">
        <x:v>OBJ-01</x:v>
      </x:c>
      <x:c r="D7" s="33" t="str">
        <x:v>Disponibilizar blog full stack e CMS utilizáveis</x:v>
      </x:c>
      <x:c r="E7" s="33" t="n">
        <x:f>COUNTIFS('11_Plano_Projeto'!$B$6:$B$216,A7,'11_Plano_Projeto'!$H$6:$H$216,"Obrigatório")</x:f>
        <x:v>10</x:v>
      </x:c>
      <x:c r="F7" s="33" t="n">
        <x:f>COUNTIFS('11_Plano_Projeto'!$B$6:$B$216,A7,'11_Plano_Projeto'!$H$6:$H$216,"Obrigatório",'11_Plano_Projeto'!$T$6:$T$216,"Confirmada")</x:f>
        <x:v>0</x:v>
      </x:c>
      <x:c r="G7" s="33" t="n">
        <x:f>COUNTIFS('11_Plano_Projeto'!$B$6:$B$216,A7,'11_Plano_Projeto'!$H$6:$H$216,"Obrigatório",'11_Plano_Projeto'!$I$6:$I$216,"A confirmar")</x:f>
        <x:v>10</x:v>
      </x:c>
      <x:c r="H7" s="33" t="n">
        <x:f>COUNTIFS('11_Plano_Projeto'!$B$6:$B$216,A7,'11_Plano_Projeto'!$H$6:$H$216,"Obrigatório",'11_Plano_Projeto'!$I$6:$I$216,"Bloqueada")</x:f>
        <x:v>0</x:v>
      </x:c>
      <x:c r="I7" s="36" t="n">
        <x:f>IF(E7=0,"",F7/E7)</x:f>
        <x:v>0</x:v>
      </x:c>
      <x:c r="J7" s="33" t="str">
        <x:v>GTM-01;GTM-02</x:v>
      </x:c>
    </x:row>
    <x:row r="8" ht="34" customHeight="1">
      <x:c r="A8" s="33" t="str">
        <x:v>AR-02</x:v>
      </x:c>
      <x:c r="B8" s="33" t="str">
        <x:v>Editorial e packs</x:v>
      </x:c>
      <x:c r="C8" s="33" t="str">
        <x:v>OBJ-02</x:v>
      </x:c>
      <x:c r="D8" s="33" t="str">
        <x:v>Preparar três packs coerentes com os pilares</x:v>
      </x:c>
      <x:c r="E8" s="33" t="n">
        <x:f>COUNTIFS('11_Plano_Projeto'!$B$6:$B$216,A8,'11_Plano_Projeto'!$H$6:$H$216,"Obrigatório")</x:f>
        <x:v>141</x:v>
      </x:c>
      <x:c r="F8" s="33" t="n">
        <x:f>COUNTIFS('11_Plano_Projeto'!$B$6:$B$216,A8,'11_Plano_Projeto'!$H$6:$H$216,"Obrigatório",'11_Plano_Projeto'!$T$6:$T$216,"Confirmada")</x:f>
        <x:v>0</x:v>
      </x:c>
      <x:c r="G8" s="33" t="n">
        <x:f>COUNTIFS('11_Plano_Projeto'!$B$6:$B$216,A8,'11_Plano_Projeto'!$H$6:$H$216,"Obrigatório",'11_Plano_Projeto'!$I$6:$I$216,"A confirmar")</x:f>
        <x:v>141</x:v>
      </x:c>
      <x:c r="H8" s="33" t="n">
        <x:f>COUNTIFS('11_Plano_Projeto'!$B$6:$B$216,A8,'11_Plano_Projeto'!$H$6:$H$216,"Obrigatório",'11_Plano_Projeto'!$I$6:$I$216,"Bloqueada")</x:f>
        <x:v>0</x:v>
      </x:c>
      <x:c r="I8" s="36" t="n">
        <x:f>IF(E8=0,"",F8/E8)</x:f>
        <x:v>0</x:v>
      </x:c>
      <x:c r="J8" s="33" t="str">
        <x:v>GTM-03;GTM-05</x:v>
      </x:c>
    </x:row>
    <x:row r="9" ht="34" customHeight="1">
      <x:c r="A9" s="33" t="str">
        <x:v>AR-03</x:v>
      </x:c>
      <x:c r="B9" s="33" t="str">
        <x:v>Agentes e operação</x:v>
      </x:c>
      <x:c r="C9" s="33" t="str">
        <x:v>OBJ-03</x:v>
      </x:c>
      <x:c r="D9" s="33" t="str">
        <x:v>Formalizar agentes, responsabilidades e workflows</x:v>
      </x:c>
      <x:c r="E9" s="33" t="n">
        <x:f>COUNTIFS('11_Plano_Projeto'!$B$6:$B$216,A9,'11_Plano_Projeto'!$H$6:$H$216,"Obrigatório")</x:f>
        <x:v>7</x:v>
      </x:c>
      <x:c r="F9" s="33" t="n">
        <x:f>COUNTIFS('11_Plano_Projeto'!$B$6:$B$216,A9,'11_Plano_Projeto'!$H$6:$H$216,"Obrigatório",'11_Plano_Projeto'!$T$6:$T$216,"Confirmada")</x:f>
        <x:v>0</x:v>
      </x:c>
      <x:c r="G9" s="33" t="n">
        <x:f>COUNTIFS('11_Plano_Projeto'!$B$6:$B$216,A9,'11_Plano_Projeto'!$H$6:$H$216,"Obrigatório",'11_Plano_Projeto'!$I$6:$I$216,"A confirmar")</x:f>
        <x:v>7</x:v>
      </x:c>
      <x:c r="H9" s="33" t="n">
        <x:f>COUNTIFS('11_Plano_Projeto'!$B$6:$B$216,A9,'11_Plano_Projeto'!$H$6:$H$216,"Obrigatório",'11_Plano_Projeto'!$I$6:$I$216,"Bloqueada")</x:f>
        <x:v>0</x:v>
      </x:c>
      <x:c r="I9" s="36" t="n">
        <x:f>IF(E9=0,"",F9/E9)</x:f>
        <x:v>0</x:v>
      </x:c>
      <x:c r="J9" s="33" t="str">
        <x:v>GTM-07;GTM-16</x:v>
      </x:c>
    </x:row>
    <x:row r="10" ht="34" customHeight="1">
      <x:c r="A10" s="33" t="str">
        <x:v>AR-04</x:v>
      </x:c>
      <x:c r="B10" s="33" t="str">
        <x:v>Solution Store</x:v>
      </x:c>
      <x:c r="C10" s="33" t="str">
        <x:v>OBJ-04</x:v>
      </x:c>
      <x:c r="D10" s="33" t="str">
        <x:v>Entregar soluções encontráveis, úteis e rastreáveis</x:v>
      </x:c>
      <x:c r="E10" s="33" t="n">
        <x:f>COUNTIFS('11_Plano_Projeto'!$B$6:$B$216,A10,'11_Plano_Projeto'!$H$6:$H$216,"Obrigatório")</x:f>
        <x:v>9</x:v>
      </x:c>
      <x:c r="F10" s="33" t="n">
        <x:f>COUNTIFS('11_Plano_Projeto'!$B$6:$B$216,A10,'11_Plano_Projeto'!$H$6:$H$216,"Obrigatório",'11_Plano_Projeto'!$T$6:$T$216,"Confirmada")</x:f>
        <x:v>0</x:v>
      </x:c>
      <x:c r="G10" s="33" t="n">
        <x:f>COUNTIFS('11_Plano_Projeto'!$B$6:$B$216,A10,'11_Plano_Projeto'!$H$6:$H$216,"Obrigatório",'11_Plano_Projeto'!$I$6:$I$216,"A confirmar")</x:f>
        <x:v>9</x:v>
      </x:c>
      <x:c r="H10" s="33" t="n">
        <x:f>COUNTIFS('11_Plano_Projeto'!$B$6:$B$216,A10,'11_Plano_Projeto'!$H$6:$H$216,"Obrigatório",'11_Plano_Projeto'!$I$6:$I$216,"Bloqueada")</x:f>
        <x:v>0</x:v>
      </x:c>
      <x:c r="I10" s="36" t="n">
        <x:f>IF(E10=0,"",F10/E10)</x:f>
        <x:v>0</x:v>
      </x:c>
      <x:c r="J10" s="33" t="str">
        <x:v>GTM-11</x:v>
      </x:c>
    </x:row>
    <x:row r="11" ht="34" customHeight="1">
      <x:c r="A11" s="33" t="str">
        <x:v>AR-05</x:v>
      </x:c>
      <x:c r="B11" s="33" t="str">
        <x:v>Mapa Cognitivo</x:v>
      </x:c>
      <x:c r="C11" s="33" t="str">
        <x:v>OBJ-05</x:v>
      </x:c>
      <x:c r="D11" s="33" t="str">
        <x:v>Navegar de problemas a evidências e soluções</x:v>
      </x:c>
      <x:c r="E11" s="33" t="n">
        <x:f>COUNTIFS('11_Plano_Projeto'!$B$6:$B$216,A11,'11_Plano_Projeto'!$H$6:$H$216,"Obrigatório")</x:f>
        <x:v>5</x:v>
      </x:c>
      <x:c r="F11" s="33" t="n">
        <x:f>COUNTIFS('11_Plano_Projeto'!$B$6:$B$216,A11,'11_Plano_Projeto'!$H$6:$H$216,"Obrigatório",'11_Plano_Projeto'!$T$6:$T$216,"Confirmada")</x:f>
        <x:v>0</x:v>
      </x:c>
      <x:c r="G11" s="33" t="n">
        <x:f>COUNTIFS('11_Plano_Projeto'!$B$6:$B$216,A11,'11_Plano_Projeto'!$H$6:$H$216,"Obrigatório",'11_Plano_Projeto'!$I$6:$I$216,"A confirmar")</x:f>
        <x:v>5</x:v>
      </x:c>
      <x:c r="H11" s="33" t="n">
        <x:f>COUNTIFS('11_Plano_Projeto'!$B$6:$B$216,A11,'11_Plano_Projeto'!$H$6:$H$216,"Obrigatório",'11_Plano_Projeto'!$I$6:$I$216,"Bloqueada")</x:f>
        <x:v>0</x:v>
      </x:c>
      <x:c r="I11" s="36" t="n">
        <x:f>IF(E11=0,"",F11/E11)</x:f>
        <x:v>0</x:v>
      </x:c>
      <x:c r="J11" s="33" t="str">
        <x:v>GTM-12</x:v>
      </x:c>
    </x:row>
    <x:row r="12" ht="34" customHeight="1">
      <x:c r="A12" s="33" t="str">
        <x:v>AR-06</x:v>
      </x:c>
      <x:c r="B12" s="33" t="str">
        <x:v>Schema e conhecimento</x:v>
      </x:c>
      <x:c r="C12" s="33" t="str">
        <x:v>OBJ-06</x:v>
      </x:c>
      <x:c r="D12" s="33" t="str">
        <x:v>Unificar IDs, relações e proveniência</x:v>
      </x:c>
      <x:c r="E12" s="33" t="n">
        <x:f>COUNTIFS('11_Plano_Projeto'!$B$6:$B$216,A12,'11_Plano_Projeto'!$H$6:$H$216,"Obrigatório")</x:f>
        <x:v>7</x:v>
      </x:c>
      <x:c r="F12" s="33" t="n">
        <x:f>COUNTIFS('11_Plano_Projeto'!$B$6:$B$216,A12,'11_Plano_Projeto'!$H$6:$H$216,"Obrigatório",'11_Plano_Projeto'!$T$6:$T$216,"Confirmada")</x:f>
        <x:v>0</x:v>
      </x:c>
      <x:c r="G12" s="33" t="n">
        <x:f>COUNTIFS('11_Plano_Projeto'!$B$6:$B$216,A12,'11_Plano_Projeto'!$H$6:$H$216,"Obrigatório",'11_Plano_Projeto'!$I$6:$I$216,"A confirmar")</x:f>
        <x:v>7</x:v>
      </x:c>
      <x:c r="H12" s="33" t="n">
        <x:f>COUNTIFS('11_Plano_Projeto'!$B$6:$B$216,A12,'11_Plano_Projeto'!$H$6:$H$216,"Obrigatório",'11_Plano_Projeto'!$I$6:$I$216,"Bloqueada")</x:f>
        <x:v>0</x:v>
      </x:c>
      <x:c r="I12" s="36" t="n">
        <x:f>IF(E12=0,"",F12/E12)</x:f>
        <x:v>0</x:v>
      </x:c>
      <x:c r="J12" s="33" t="str">
        <x:v>GTM-09;GTM-13</x:v>
      </x:c>
    </x:row>
    <x:row r="13" ht="34" customHeight="1">
      <x:c r="A13" s="33" t="str">
        <x:v>AR-07</x:v>
      </x:c>
      <x:c r="B13" s="33" t="str">
        <x:v>Quick Frameworks</x:v>
      </x:c>
      <x:c r="C13" s="33" t="str">
        <x:v>OBJ-07</x:v>
      </x:c>
      <x:c r="D13" s="33" t="str">
        <x:v>Produzir conteúdo compacto e blocos reutilizáveis</x:v>
      </x:c>
      <x:c r="E13" s="33" t="n">
        <x:f>COUNTIFS('11_Plano_Projeto'!$B$6:$B$216,A13,'11_Plano_Projeto'!$H$6:$H$216,"Obrigatório")</x:f>
        <x:v>6</x:v>
      </x:c>
      <x:c r="F13" s="33" t="n">
        <x:f>COUNTIFS('11_Plano_Projeto'!$B$6:$B$216,A13,'11_Plano_Projeto'!$H$6:$H$216,"Obrigatório",'11_Plano_Projeto'!$T$6:$T$216,"Confirmada")</x:f>
        <x:v>0</x:v>
      </x:c>
      <x:c r="G13" s="33" t="n">
        <x:f>COUNTIFS('11_Plano_Projeto'!$B$6:$B$216,A13,'11_Plano_Projeto'!$H$6:$H$216,"Obrigatório",'11_Plano_Projeto'!$I$6:$I$216,"A confirmar")</x:f>
        <x:v>6</x:v>
      </x:c>
      <x:c r="H13" s="33" t="n">
        <x:f>COUNTIFS('11_Plano_Projeto'!$B$6:$B$216,A13,'11_Plano_Projeto'!$H$6:$H$216,"Obrigatório",'11_Plano_Projeto'!$I$6:$I$216,"Bloqueada")</x:f>
        <x:v>0</x:v>
      </x:c>
      <x:c r="I13" s="36" t="n">
        <x:f>IF(E13=0,"",F13/E13)</x:f>
        <x:v>0</x:v>
      </x:c>
      <x:c r="J13" s="33" t="str">
        <x:v>GTM-14;GTM-15</x:v>
      </x:c>
    </x:row>
    <x:row r="14" ht="34" customHeight="1">
      <x:c r="A14" s="33" t="str">
        <x:v>AR-08</x:v>
      </x:c>
      <x:c r="B14" s="33" t="str">
        <x:v>Distribuição e mensuração</x:v>
      </x:c>
      <x:c r="C14" s="33" t="str">
        <x:v>OBJ-08</x:v>
      </x:c>
      <x:c r="D14" s="33" t="str">
        <x:v>Distribuir, medir uso e aprender por ciclo</x:v>
      </x:c>
      <x:c r="E14" s="33" t="n">
        <x:f>COUNTIFS('11_Plano_Projeto'!$B$6:$B$216,A14,'11_Plano_Projeto'!$H$6:$H$216,"Obrigatório")</x:f>
        <x:v>11</x:v>
      </x:c>
      <x:c r="F14" s="33" t="n">
        <x:f>COUNTIFS('11_Plano_Projeto'!$B$6:$B$216,A14,'11_Plano_Projeto'!$H$6:$H$216,"Obrigatório",'11_Plano_Projeto'!$T$6:$T$216,"Confirmada")</x:f>
        <x:v>0</x:v>
      </x:c>
      <x:c r="G14" s="33" t="n">
        <x:f>COUNTIFS('11_Plano_Projeto'!$B$6:$B$216,A14,'11_Plano_Projeto'!$H$6:$H$216,"Obrigatório",'11_Plano_Projeto'!$I$6:$I$216,"A confirmar")</x:f>
        <x:v>11</x:v>
      </x:c>
      <x:c r="H14" s="33" t="n">
        <x:f>COUNTIFS('11_Plano_Projeto'!$B$6:$B$216,A14,'11_Plano_Projeto'!$H$6:$H$216,"Obrigatório",'11_Plano_Projeto'!$I$6:$I$216,"Bloqueada")</x:f>
        <x:v>0</x:v>
      </x:c>
      <x:c r="I14" s="36" t="n">
        <x:f>IF(E14=0,"",F14/E14)</x:f>
        <x:v>0</x:v>
      </x:c>
      <x:c r="J14" s="33" t="str">
        <x:v>GTM-04;GTM-17</x:v>
      </x:c>
    </x:row>
    <x:row r="17" ht="30" customHeight="1">
      <x:c r="A17" t="str">
        <x:v>Ação imediata</x:v>
      </x:c>
      <x:c r="B17" t="str">
        <x:v>Decisão</x:v>
      </x:c>
      <x:c r="C17" t="str">
        <x:v>Situação</x:v>
      </x:c>
      <x:c r="D17" t="str">
        <x:v>Efeito</x:v>
      </x:c>
    </x:row>
    <x:row r="18" ht="30" customHeight="1">
      <x:c r="A18" t="str">
        <x:v>Resolver duração</x:v>
      </x:c>
      <x:c r="B18" t="str">
        <x:v>DEC-01</x:v>
      </x:c>
      <x:c r="C18" t="str">
        <x:v>Pendente</x:v>
      </x:c>
      <x:c r="D18" t="str">
        <x:v>Datas não fixadas</x:v>
      </x:c>
    </x:row>
    <x:row r="19" ht="30" customHeight="1">
      <x:c r="A19" t="str">
        <x:v>Designar responsáveis</x:v>
      </x:c>
      <x:c r="B19" t="str">
        <x:v>DEC-03</x:v>
      </x:c>
      <x:c r="C19" t="str">
        <x:v>Pendente</x:v>
      </x:c>
      <x:c r="D19" t="str">
        <x:v>Todas as áreas</x:v>
      </x:c>
    </x:row>
    <x:row r="20" ht="30" customHeight="1">
      <x:c r="A20" t="str">
        <x:v>Aprovar escopo mínimo</x:v>
      </x:c>
      <x:c r="B20" t="str">
        <x:v>DEC-07</x:v>
      </x:c>
      <x:c r="C20" t="str">
        <x:v>Pendente</x:v>
      </x:c>
      <x:c r="D20" t="str">
        <x:v>Canais e componentes</x:v>
      </x:c>
    </x:row>
  </x:sheetData>
  <x:pageMargins left="0.7" right="0.7" top="0.75" bottom="0.75" header="0.3" footer="0.3"/>
  <x:tableParts count="1">
    <x:tablePart xmlns:r="http://schemas.openxmlformats.org/officeDocument/2006/relationships" r:id="Rf234d296525842e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48" hidden="0" customWidth="1"/>
    <x:col min="5" max="5" width="66" hidden="0" customWidth="1"/>
    <x:col min="6" max="6" width="16" hidden="0" customWidth="1"/>
    <x:col min="7" max="7" width="16" hidden="0" customWidth="1"/>
    <x:col min="8" max="8" width="18" hidden="0" customWidth="1"/>
    <x:col min="9" max="9" width="20" hidden="0" customWidth="1"/>
    <x:col min="10" max="10" width="22" hidden="0" customWidth="1"/>
    <x:col min="11" max="11" width="17" hidden="0" customWidth="1"/>
    <x:col min="12" max="12" width="17" hidden="0" customWidth="1"/>
    <x:col min="13" max="13" width="17" hidden="0" customWidth="1"/>
    <x:col min="14" max="14" width="44" hidden="0" customWidth="1"/>
    <x:col min="15" max="15" width="18" hidden="0" customWidth="1"/>
    <x:col min="16" max="16" width="24" hidden="0" customWidth="1"/>
    <x:col min="17" max="17" width="25" hidden="0" customWidth="1"/>
    <x:col min="18" max="18" width="25" hidden="0" customWidth="1"/>
    <x:col min="19" max="19" width="42" hidden="0" customWidth="1"/>
    <x:col min="20" max="20" width="24" hidden="0" customWidth="1"/>
    <x:col min="21" max="21" width="24" hidden="0" customWidth="1"/>
    <x:col min="22" max="22" width="40" hidden="0" customWidth="1"/>
  </x:cols>
  <x:sheetData>
    <x:row r="1">
      <x:c r="A1" s="24"/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</x:row>
    <x:row r="2">
      <x:c r="A2" s="26" t="str">
        <x:v>Plano de execução por área e objetivo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</x:row>
    <x:row r="5" ht="32" customHeight="1">
      <x:c r="A5" s="32" t="str">
        <x:v>Tarefa_ID</x:v>
      </x:c>
      <x:c r="B5" s="32" t="str">
        <x:v>Area_ID</x:v>
      </x:c>
      <x:c r="C5" s="32" t="str">
        <x:v>Objetivo_ID</x:v>
      </x:c>
      <x:c r="D5" s="32" t="str">
        <x:v>Ação / entrega</x:v>
      </x:c>
      <x:c r="E5" s="32" t="str">
        <x:v>Critério de aceite</x:v>
      </x:c>
      <x:c r="F5" s="32" t="str">
        <x:v>Pack_ID</x:v>
      </x:c>
      <x:c r="G5" s="32" t="str">
        <x:v>Formato</x:v>
      </x:c>
      <x:c r="H5" s="32" t="str">
        <x:v>Escopo</x:v>
      </x:c>
      <x:c r="I5" s="32" t="str">
        <x:v>Status</x:v>
      </x:c>
      <x:c r="J5" s="32" t="str">
        <x:v>Responsável</x:v>
      </x:c>
      <x:c r="K5" s="32" t="str">
        <x:v>Início previsto</x:v>
      </x:c>
      <x:c r="L5" s="32" t="str">
        <x:v>Prazo</x:v>
      </x:c>
      <x:c r="M5" s="32" t="str">
        <x:v>Conclusão em</x:v>
      </x:c>
      <x:c r="N5" s="32" t="str">
        <x:v>Depende de IDs</x:v>
      </x:c>
      <x:c r="O5" s="32" t="str">
        <x:v>Decisao_ID</x:v>
      </x:c>
      <x:c r="P5" s="32" t="str">
        <x:v>Fonte_ID</x:v>
      </x:c>
      <x:c r="Q5" s="32" t="str">
        <x:v>Campos canônicos</x:v>
      </x:c>
      <x:c r="R5" s="32" t="str">
        <x:v>Natureza</x:v>
      </x:c>
      <x:c r="S5" s="32" t="str">
        <x:v>Evidência / URL</x:v>
      </x:c>
      <x:c r="T5" s="32" t="str">
        <x:v>Conclusão válida</x:v>
      </x:c>
      <x:c r="U5" s="32" t="str">
        <x:v>Prazo / situação</x:v>
      </x:c>
      <x:c r="V5" s="32" t="str">
        <x:v>Observações</x:v>
      </x:c>
    </x:row>
    <x:row r="6" ht="62" customHeight="1">
      <x:c r="A6" s="33" t="str">
        <x:v>GOV-01</x:v>
      </x:c>
      <x:c r="B6" s="33" t="str">
        <x:v>AR-00</x:v>
      </x:c>
      <x:c r="C6" s="33" t="str">
        <x:v>OBJ-00</x:v>
      </x:c>
      <x:c r="D6" s="33" t="str">
        <x:v>Consolidar escopo do lançamento</x:v>
      </x:c>
      <x:c r="E6" s="33" t="str">
        <x:v>Escopo mínimo, exclusões e produtos beta identificados.</x:v>
      </x:c>
      <x:c r="F6" s="33" t="str"/>
      <x:c r="G6" s="33" t="str">
        <x:v>Atividade</x:v>
      </x:c>
      <x:c r="H6" s="33" t="str">
        <x:v>Obrigatório</x:v>
      </x:c>
      <x:c r="I6" s="34" t="str">
        <x:v>A confirmar</x:v>
      </x:c>
      <x:c r="J6" s="34" t="str">
        <x:v>A definir</x:v>
      </x:c>
      <x:c r="K6" s="35"/>
      <x:c r="L6" s="35"/>
      <x:c r="M6" s="35"/>
      <x:c r="N6" s="33" t="str"/>
      <x:c r="O6" s="33" t="str">
        <x:v>DEC-07</x:v>
      </x:c>
      <x:c r="P6" s="33" t="str">
        <x:v>GTM-01</x:v>
      </x:c>
      <x:c r="Q6" s="33" t="str">
        <x:v>2.3;2.4;8.4</x:v>
      </x:c>
      <x:c r="R6" s="33" t="str">
        <x:v>Decomposição proposta</x:v>
      </x:c>
      <x:c r="S6" s="34"/>
      <x:c r="T6" s="33" t="str">
        <x:f>IF(I6="Concluída",IF(OR(S6="",M6=""),"Falta evidência/data","Confirmada"),"Não confirmada")</x:f>
        <x:v>Não confirmada</x:v>
      </x:c>
      <x:c r="U6" s="33" t="str">
        <x:f>IF(T6="Confirmada","Concluída",IF(I6="Cancelada","Cancelada",IF(L6="","Sem prazo",IF(L6&lt;TODAY(),"Prazo vencido","No prazo"))))</x:f>
        <x:v>Sem prazo</x:v>
      </x:c>
      <x:c r="V6" s="34"/>
    </x:row>
    <x:row r="7" ht="62" customHeight="1">
      <x:c r="A7" s="33" t="str">
        <x:v>GOV-02</x:v>
      </x:c>
      <x:c r="B7" s="33" t="str">
        <x:v>AR-00</x:v>
      </x:c>
      <x:c r="C7" s="33" t="str">
        <x:v>OBJ-00</x:v>
      </x:c>
      <x:c r="D7" s="33" t="str">
        <x:v>Designar sponsor e responsáveis</x:v>
      </x:c>
      <x:c r="E7" s="33" t="str">
        <x:v>Responsável e aprovador definidos por área.</x:v>
      </x:c>
      <x:c r="F7" s="33" t="str"/>
      <x:c r="G7" s="33" t="str">
        <x:v>Atividade</x:v>
      </x:c>
      <x:c r="H7" s="33" t="str">
        <x:v>Obrigatório</x:v>
      </x:c>
      <x:c r="I7" s="34" t="str">
        <x:v>A confirmar</x:v>
      </x:c>
      <x:c r="J7" s="34" t="str">
        <x:v>A definir</x:v>
      </x:c>
      <x:c r="K7" s="35"/>
      <x:c r="L7" s="35"/>
      <x:c r="M7" s="35"/>
      <x:c r="N7" s="33" t="str">
        <x:v>GOV-01</x:v>
      </x:c>
      <x:c r="O7" s="33" t="str">
        <x:v>DEC-03</x:v>
      </x:c>
      <x:c r="P7" s="33" t="str">
        <x:v>GTM-17</x:v>
      </x:c>
      <x:c r="Q7" s="33" t="str">
        <x:v>8.2;13.2;16.3</x:v>
      </x:c>
      <x:c r="R7" s="33" t="str">
        <x:v>Decomposição proposta</x:v>
      </x:c>
      <x:c r="S7" s="34"/>
      <x:c r="T7" s="33" t="str">
        <x:f>IF(I7="Concluída",IF(OR(S7="",M7=""),"Falta evidência/data","Confirmada"),"Não confirmada")</x:f>
        <x:v>Não confirmada</x:v>
      </x:c>
      <x:c r="U7" s="33" t="str">
        <x:f>IF(T7="Confirmada","Concluída",IF(I7="Cancelada","Cancelada",IF(L7="","Sem prazo",IF(L7&lt;TODAY(),"Prazo vencido","No prazo"))))</x:f>
        <x:v>Sem prazo</x:v>
      </x:c>
      <x:c r="V7" s="34"/>
    </x:row>
    <x:row r="8" ht="62" customHeight="1">
      <x:c r="A8" s="33" t="str">
        <x:v>GOV-03</x:v>
      </x:c>
      <x:c r="B8" s="33" t="str">
        <x:v>AR-00</x:v>
      </x:c>
      <x:c r="C8" s="33" t="str">
        <x:v>OBJ-00</x:v>
      </x:c>
      <x:c r="D8" s="33" t="str">
        <x:v>Resolver cadência de 15 ou 17 dias</x:v>
      </x:c>
      <x:c r="E8" s="33" t="str">
        <x:v>Duração, dias úteis/corridos e início registrados.</x:v>
      </x:c>
      <x:c r="F8" s="33" t="str"/>
      <x:c r="G8" s="33" t="str">
        <x:v>Atividade</x:v>
      </x:c>
      <x:c r="H8" s="33" t="str">
        <x:v>Obrigatório</x:v>
      </x:c>
      <x:c r="I8" s="34" t="str">
        <x:v>A confirmar</x:v>
      </x:c>
      <x:c r="J8" s="34" t="str">
        <x:v>A definir</x:v>
      </x:c>
      <x:c r="K8" s="35"/>
      <x:c r="L8" s="35"/>
      <x:c r="M8" s="35"/>
      <x:c r="N8" s="33" t="str">
        <x:v>GOV-01</x:v>
      </x:c>
      <x:c r="O8" s="33" t="str">
        <x:v>DEC-01</x:v>
      </x:c>
      <x:c r="P8" s="33" t="str">
        <x:v>GTM-03</x:v>
      </x:c>
      <x:c r="Q8" s="33" t="str">
        <x:v>10.1;10.4</x:v>
      </x:c>
      <x:c r="R8" s="33" t="str">
        <x:v>Decomposição proposta</x:v>
      </x:c>
      <x:c r="S8" s="34"/>
      <x:c r="T8" s="33" t="str">
        <x:f>IF(I8="Concluída",IF(OR(S8="",M8=""),"Falta evidência/data","Confirmada"),"Não confirmada")</x:f>
        <x:v>Não confirmada</x:v>
      </x:c>
      <x:c r="U8" s="33" t="str">
        <x:f>IF(T8="Confirmada","Concluída",IF(I8="Cancelada","Cancelada",IF(L8="","Sem prazo",IF(L8&lt;TODAY(),"Prazo vencido","No prazo"))))</x:f>
        <x:v>Sem prazo</x:v>
      </x:c>
      <x:c r="V8" s="34"/>
    </x:row>
    <x:row r="9" ht="62" customHeight="1">
      <x:c r="A9" s="33" t="str">
        <x:v>GOV-04</x:v>
      </x:c>
      <x:c r="B9" s="33" t="str">
        <x:v>AR-00</x:v>
      </x:c>
      <x:c r="C9" s="33" t="str">
        <x:v>OBJ-00</x:v>
      </x:c>
      <x:c r="D9" s="33" t="str">
        <x:v>Conciliar nomenclatura F0–F8</x:v>
      </x:c>
      <x:c r="E9" s="33" t="str">
        <x:v>Equivalência ficha/ADRs aprovada sem perda de CMS, pipeline ou workbook.</x:v>
      </x:c>
      <x:c r="F9" s="33" t="str"/>
      <x:c r="G9" s="33" t="str">
        <x:v>Atividade</x:v>
      </x:c>
      <x:c r="H9" s="33" t="str">
        <x:v>Obrigatório</x:v>
      </x:c>
      <x:c r="I9" s="34" t="str">
        <x:v>A confirmar</x:v>
      </x:c>
      <x:c r="J9" s="34" t="str">
        <x:v>A definir</x:v>
      </x:c>
      <x:c r="K9" s="35"/>
      <x:c r="L9" s="35"/>
      <x:c r="M9" s="35"/>
      <x:c r="N9" s="33" t="str">
        <x:v>GOV-01</x:v>
      </x:c>
      <x:c r="O9" s="33" t="str">
        <x:v>DEC-02</x:v>
      </x:c>
      <x:c r="P9" s="33" t="str">
        <x:v>GTM-01;GTM-10</x:v>
      </x:c>
      <x:c r="Q9" s="33" t="str">
        <x:v>2.5</x:v>
      </x:c>
      <x:c r="R9" s="33" t="str">
        <x:v>Decomposição proposta</x:v>
      </x:c>
      <x:c r="S9" s="34"/>
      <x:c r="T9" s="33" t="str">
        <x:f>IF(I9="Concluída",IF(OR(S9="",M9=""),"Falta evidência/data","Confirmada"),"Não confirmada")</x:f>
        <x:v>Não confirmada</x:v>
      </x:c>
      <x:c r="U9" s="33" t="str">
        <x:f>IF(T9="Confirmada","Concluída",IF(I9="Cancelada","Cancelada",IF(L9="","Sem prazo",IF(L9&lt;TODAY(),"Prazo vencido","No prazo"))))</x:f>
        <x:v>Sem prazo</x:v>
      </x:c>
      <x:c r="V9" s="34"/>
    </x:row>
    <x:row r="10" ht="62" customHeight="1">
      <x:c r="A10" s="33" t="str">
        <x:v>GOV-05</x:v>
      </x:c>
      <x:c r="B10" s="33" t="str">
        <x:v>AR-00</x:v>
      </x:c>
      <x:c r="C10" s="33" t="str">
        <x:v>OBJ-00</x:v>
      </x:c>
      <x:c r="D10" s="33" t="str">
        <x:v>Reunir anexos canônicos</x:v>
      </x:c>
      <x:c r="E10" s="33" t="str">
        <x:v>Manifesto com arquivo, versão, proprietário e URI de cada anexo.</x:v>
      </x:c>
      <x:c r="F10" s="33" t="str"/>
      <x:c r="G10" s="33" t="str">
        <x:v>Atividade</x:v>
      </x:c>
      <x:c r="H10" s="33" t="str">
        <x:v>Obrigatório</x:v>
      </x:c>
      <x:c r="I10" s="34" t="str">
        <x:v>A confirmar</x:v>
      </x:c>
      <x:c r="J10" s="34" t="str">
        <x:v>A definir</x:v>
      </x:c>
      <x:c r="K10" s="35"/>
      <x:c r="L10" s="35"/>
      <x:c r="M10" s="35"/>
      <x:c r="N10" s="33" t="str"/>
      <x:c r="O10" s="33" t="str">
        <x:v>DEC-05</x:v>
      </x:c>
      <x:c r="P10" s="33" t="str">
        <x:v>GTM-02;GTM-03</x:v>
      </x:c>
      <x:c r="Q10" s="33" t="str">
        <x:v>7.1;14.1</x:v>
      </x:c>
      <x:c r="R10" s="33" t="str">
        <x:v>Decomposição proposta</x:v>
      </x:c>
      <x:c r="S10" s="34"/>
      <x:c r="T10" s="33" t="str">
        <x:f>IF(I10="Concluída",IF(OR(S10="",M10=""),"Falta evidência/data","Confirmada"),"Não confirmada")</x:f>
        <x:v>Não confirmada</x:v>
      </x:c>
      <x:c r="U10" s="33" t="str">
        <x:f>IF(T10="Confirmada","Concluída",IF(I10="Cancelada","Cancelada",IF(L10="","Sem prazo",IF(L10&lt;TODAY(),"Prazo vencido","No prazo"))))</x:f>
        <x:v>Sem prazo</x:v>
      </x:c>
      <x:c r="V10" s="34"/>
    </x:row>
    <x:row r="11" ht="62" customHeight="1">
      <x:c r="A11" s="33" t="str">
        <x:v>GOV-06</x:v>
      </x:c>
      <x:c r="B11" s="33" t="str">
        <x:v>AR-00</x:v>
      </x:c>
      <x:c r="C11" s="33" t="str">
        <x:v>OBJ-00</x:v>
      </x:c>
      <x:c r="D11" s="33" t="str">
        <x:v>Consolidar Foundation Doc</x:v>
      </x:c>
      <x:c r="E11" s="33" t="str">
        <x:v>Doze seções vinculadas às decisões e entregáveis do projeto.</x:v>
      </x:c>
      <x:c r="F11" s="33" t="str"/>
      <x:c r="G11" s="33" t="str">
        <x:v>Atividade</x:v>
      </x:c>
      <x:c r="H11" s="33" t="str">
        <x:v>Obrigatório</x:v>
      </x:c>
      <x:c r="I11" s="34" t="str">
        <x:v>A confirmar</x:v>
      </x:c>
      <x:c r="J11" s="34" t="str">
        <x:v>A definir</x:v>
      </x:c>
      <x:c r="K11" s="35"/>
      <x:c r="L11" s="35"/>
      <x:c r="M11" s="35"/>
      <x:c r="N11" s="33" t="str">
        <x:v>GOV-01;GOV-05</x:v>
      </x:c>
      <x:c r="O11" s="33" t="str"/>
      <x:c r="P11" s="33" t="str">
        <x:v>GTM-18</x:v>
      </x:c>
      <x:c r="Q11" s="33" t="str">
        <x:v>7.1;7.2;7.3;7.4</x:v>
      </x:c>
      <x:c r="R11" s="33" t="str">
        <x:v>Decomposição proposta</x:v>
      </x:c>
      <x:c r="S11" s="34"/>
      <x:c r="T11" s="33" t="str">
        <x:f>IF(I11="Concluída",IF(OR(S11="",M11=""),"Falta evidência/data","Confirmada"),"Não confirmada")</x:f>
        <x:v>Não confirmada</x:v>
      </x:c>
      <x:c r="U11" s="33" t="str">
        <x:f>IF(T11="Confirmada","Concluída",IF(I11="Cancelada","Cancelada",IF(L11="","Sem prazo",IF(L11&lt;TODAY(),"Prazo vencido","No prazo"))))</x:f>
        <x:v>Sem prazo</x:v>
      </x:c>
      <x:c r="V11" s="34"/>
    </x:row>
    <x:row r="12" ht="62" customHeight="1">
      <x:c r="A12" s="33" t="str">
        <x:v>GOV-07</x:v>
      </x:c>
      <x:c r="B12" s="33" t="str">
        <x:v>AR-00</x:v>
      </x:c>
      <x:c r="C12" s="33" t="str">
        <x:v>OBJ-00</x:v>
      </x:c>
      <x:c r="D12" s="33" t="str">
        <x:v>Definir orçamento e capacidade</x:v>
      </x:c>
      <x:c r="E12" s="33" t="str">
        <x:v>Custos, capacidade do Creator e teto de infraestrutura aprovados.</x:v>
      </x:c>
      <x:c r="F12" s="33" t="str"/>
      <x:c r="G12" s="33" t="str">
        <x:v>Atividade</x:v>
      </x:c>
      <x:c r="H12" s="33" t="str">
        <x:v>Obrigatório</x:v>
      </x:c>
      <x:c r="I12" s="34" t="str">
        <x:v>A confirmar</x:v>
      </x:c>
      <x:c r="J12" s="34" t="str">
        <x:v>A definir</x:v>
      </x:c>
      <x:c r="K12" s="35"/>
      <x:c r="L12" s="35"/>
      <x:c r="M12" s="35"/>
      <x:c r="N12" s="33" t="str">
        <x:v>GOV-02</x:v>
      </x:c>
      <x:c r="O12" s="33" t="str">
        <x:v>DEC-12</x:v>
      </x:c>
      <x:c r="P12" s="33" t="str">
        <x:v>GTM-01</x:v>
      </x:c>
      <x:c r="Q12" s="33" t="str">
        <x:v>1.7;1.8;1.9;1.10;1.11;1.12</x:v>
      </x:c>
      <x:c r="R12" s="33" t="str">
        <x:v>Decomposição proposta</x:v>
      </x:c>
      <x:c r="S12" s="34"/>
      <x:c r="T12" s="33" t="str">
        <x:f>IF(I12="Concluída",IF(OR(S12="",M12=""),"Falta evidência/data","Confirmada"),"Não confirmada")</x:f>
        <x:v>Não confirmada</x:v>
      </x:c>
      <x:c r="U12" s="33" t="str">
        <x:f>IF(T12="Confirmada","Concluída",IF(I12="Cancelada","Cancelada",IF(L12="","Sem prazo",IF(L12&lt;TODAY(),"Prazo vencido","No prazo"))))</x:f>
        <x:v>Sem prazo</x:v>
      </x:c>
      <x:c r="V12" s="34"/>
    </x:row>
    <x:row r="13" ht="62" customHeight="1">
      <x:c r="A13" s="33" t="str">
        <x:v>GOV-08</x:v>
      </x:c>
      <x:c r="B13" s="33" t="str">
        <x:v>AR-00</x:v>
      </x:c>
      <x:c r="C13" s="33" t="str">
        <x:v>OBJ-00</x:v>
      </x:c>
      <x:c r="D13" s="33" t="str">
        <x:v>Revisar riscos de overkill e retrabalho</x:v>
      </x:c>
      <x:c r="E13" s="33" t="str">
        <x:v>Mitigações e donos registrados para riscos da ficha.</x:v>
      </x:c>
      <x:c r="F13" s="33" t="str"/>
      <x:c r="G13" s="33" t="str">
        <x:v>Atividade</x:v>
      </x:c>
      <x:c r="H13" s="33" t="str">
        <x:v>Obrigatório</x:v>
      </x:c>
      <x:c r="I13" s="34" t="str">
        <x:v>A confirmar</x:v>
      </x:c>
      <x:c r="J13" s="34" t="str">
        <x:v>A definir</x:v>
      </x:c>
      <x:c r="K13" s="35"/>
      <x:c r="L13" s="35"/>
      <x:c r="M13" s="35"/>
      <x:c r="N13" s="33" t="str">
        <x:v>GOV-01</x:v>
      </x:c>
      <x:c r="O13" s="33" t="str"/>
      <x:c r="P13" s="33" t="str">
        <x:v>GTM-01</x:v>
      </x:c>
      <x:c r="Q13" s="33" t="str">
        <x:v>1.6;6.5</x:v>
      </x:c>
      <x:c r="R13" s="33" t="str">
        <x:v>Decomposição proposta</x:v>
      </x:c>
      <x:c r="S13" s="34"/>
      <x:c r="T13" s="33" t="str">
        <x:f>IF(I13="Concluída",IF(OR(S13="",M13=""),"Falta evidência/data","Confirmada"),"Não confirmada")</x:f>
        <x:v>Não confirmada</x:v>
      </x:c>
      <x:c r="U13" s="33" t="str">
        <x:f>IF(T13="Confirmada","Concluída",IF(I13="Cancelada","Cancelada",IF(L13="","Sem prazo",IF(L13&lt;TODAY(),"Prazo vencido","No prazo"))))</x:f>
        <x:v>Sem prazo</x:v>
      </x:c>
      <x:c r="V13" s="34"/>
    </x:row>
    <x:row r="14" ht="62" customHeight="1">
      <x:c r="A14" s="33" t="str">
        <x:v>GOV-09</x:v>
      </x:c>
      <x:c r="B14" s="33" t="str">
        <x:v>AR-00</x:v>
      </x:c>
      <x:c r="C14" s="33" t="str">
        <x:v>OBJ-00</x:v>
      </x:c>
      <x:c r="D14" s="33" t="str">
        <x:v>Aprovar prontidão de lançamento</x:v>
      </x:c>
      <x:c r="E14" s="33" t="str">
        <x:v>Packs, blog, soluções e medição aceitos; pendências críticas resolvidas.</x:v>
      </x:c>
      <x:c r="F14" s="33" t="str"/>
      <x:c r="G14" s="33" t="str">
        <x:v>Atividade</x:v>
      </x:c>
      <x:c r="H14" s="33" t="str">
        <x:v>Obrigatório</x:v>
      </x:c>
      <x:c r="I14" s="34" t="str">
        <x:v>A confirmar</x:v>
      </x:c>
      <x:c r="J14" s="34" t="str">
        <x:v>A definir</x:v>
      </x:c>
      <x:c r="K14" s="35"/>
      <x:c r="L14" s="35"/>
      <x:c r="M14" s="35"/>
      <x:c r="N14" s="33" t="str">
        <x:v>BLOG-10;PACK-01-QA;PACK-02-QA;PACK-03-QA;STO-09;DST-06</x:v>
      </x:c>
      <x:c r="O14" s="33" t="str"/>
      <x:c r="P14" s="33" t="str">
        <x:v>GTM-01</x:v>
      </x:c>
      <x:c r="Q14" s="33" t="str">
        <x:v>8.4</x:v>
      </x:c>
      <x:c r="R14" s="33" t="str">
        <x:v>Decomposição proposta</x:v>
      </x:c>
      <x:c r="S14" s="34"/>
      <x:c r="T14" s="33" t="str">
        <x:f>IF(I14="Concluída",IF(OR(S14="",M14=""),"Falta evidência/data","Confirmada"),"Não confirmada")</x:f>
        <x:v>Não confirmada</x:v>
      </x:c>
      <x:c r="U14" s="33" t="str">
        <x:f>IF(T14="Confirmada","Concluída",IF(I14="Cancelada","Cancelada",IF(L14="","Sem prazo",IF(L14&lt;TODAY(),"Prazo vencido","No prazo"))))</x:f>
        <x:v>Sem prazo</x:v>
      </x:c>
      <x:c r="V14" s="34"/>
    </x:row>
    <x:row r="15" ht="62" customHeight="1">
      <x:c r="A15" s="33" t="str">
        <x:v>SCH-01</x:v>
      </x:c>
      <x:c r="B15" s="33" t="str">
        <x:v>AR-06</x:v>
      </x:c>
      <x:c r="C15" s="33" t="str">
        <x:v>OBJ-06</x:v>
      </x:c>
      <x:c r="D15" s="33" t="str">
        <x:v>Inventariar contratos atuais</x:v>
      </x:c>
      <x:c r="E15" s="33" t="str">
        <x:v>RC-UGS, LEGACY_18, rc_knw e SUPER_SCHEMA_SOLUTION identificados.</x:v>
      </x:c>
      <x:c r="F15" s="33" t="str"/>
      <x:c r="G15" s="33" t="str">
        <x:v>Atividade</x:v>
      </x:c>
      <x:c r="H15" s="33" t="str">
        <x:v>Obrigatório</x:v>
      </x:c>
      <x:c r="I15" s="34" t="str">
        <x:v>A confirmar</x:v>
      </x:c>
      <x:c r="J15" s="34" t="str">
        <x:v>A definir</x:v>
      </x:c>
      <x:c r="K15" s="35"/>
      <x:c r="L15" s="35"/>
      <x:c r="M15" s="35"/>
      <x:c r="N15" s="33" t="str">
        <x:v>GOV-05</x:v>
      </x:c>
      <x:c r="O15" s="33" t="str">
        <x:v>DEC-06</x:v>
      </x:c>
      <x:c r="P15" s="33" t="str">
        <x:v>GTM-09</x:v>
      </x:c>
      <x:c r="Q15" s="33" t="str">
        <x:v>4.1</x:v>
      </x:c>
      <x:c r="R15" s="33" t="str">
        <x:v>Decomposição proposta</x:v>
      </x:c>
      <x:c r="S15" s="34"/>
      <x:c r="T15" s="33" t="str">
        <x:f>IF(I15="Concluída",IF(OR(S15="",M15=""),"Falta evidência/data","Confirmada"),"Não confirmada")</x:f>
        <x:v>Não confirmada</x:v>
      </x:c>
      <x:c r="U15" s="33" t="str">
        <x:f>IF(T15="Confirmada","Concluída",IF(I15="Cancelada","Cancelada",IF(L15="","Sem prazo",IF(L15&lt;TODAY(),"Prazo vencido","No prazo"))))</x:f>
        <x:v>Sem prazo</x:v>
      </x:c>
      <x:c r="V15" s="34"/>
    </x:row>
    <x:row r="16" ht="62" customHeight="1">
      <x:c r="A16" s="33" t="str">
        <x:v>SCH-02</x:v>
      </x:c>
      <x:c r="B16" s="33" t="str">
        <x:v>AR-06</x:v>
      </x:c>
      <x:c r="C16" s="33" t="str">
        <x:v>OBJ-06</x:v>
      </x:c>
      <x:c r="D16" s="33" t="str">
        <x:v>Definir contrato mínimo OBJECT</x:v>
      </x:c>
      <x:c r="E16" s="33" t="str">
        <x:v>Quatorze campos comuns documentados, incluindo ID, versão e proveniência.</x:v>
      </x:c>
      <x:c r="F16" s="33" t="str"/>
      <x:c r="G16" s="33" t="str">
        <x:v>Atividade</x:v>
      </x:c>
      <x:c r="H16" s="33" t="str">
        <x:v>Obrigatório</x:v>
      </x:c>
      <x:c r="I16" s="34" t="str">
        <x:v>A confirmar</x:v>
      </x:c>
      <x:c r="J16" s="34" t="str">
        <x:v>A definir</x:v>
      </x:c>
      <x:c r="K16" s="35"/>
      <x:c r="L16" s="35"/>
      <x:c r="M16" s="35"/>
      <x:c r="N16" s="33" t="str">
        <x:v>SCH-01</x:v>
      </x:c>
      <x:c r="O16" s="33" t="str">
        <x:v>DEC-06</x:v>
      </x:c>
      <x:c r="P16" s="33" t="str">
        <x:v>GTM-09</x:v>
      </x:c>
      <x:c r="Q16" s="33" t="str">
        <x:v>4.1;17.3</x:v>
      </x:c>
      <x:c r="R16" s="33" t="str">
        <x:v>Decomposição proposta</x:v>
      </x:c>
      <x:c r="S16" s="34"/>
      <x:c r="T16" s="33" t="str">
        <x:f>IF(I16="Concluída",IF(OR(S16="",M16=""),"Falta evidência/data","Confirmada"),"Não confirmada")</x:f>
        <x:v>Não confirmada</x:v>
      </x:c>
      <x:c r="U16" s="33" t="str">
        <x:f>IF(T16="Confirmada","Concluída",IF(I16="Cancelada","Cancelada",IF(L16="","Sem prazo",IF(L16&lt;TODAY(),"Prazo vencido","No prazo"))))</x:f>
        <x:v>Sem prazo</x:v>
      </x:c>
      <x:c r="V16" s="34"/>
    </x:row>
    <x:row r="17" ht="62" customHeight="1">
      <x:c r="A17" s="33" t="str">
        <x:v>SCH-03</x:v>
      </x:c>
      <x:c r="B17" s="33" t="str">
        <x:v>AR-06</x:v>
      </x:c>
      <x:c r="C17" s="33" t="str">
        <x:v>OBJ-06</x:v>
      </x:c>
      <x:c r="D17" s="33" t="str">
        <x:v>Definir tipos e relações do grafo</x:v>
      </x:c>
      <x:c r="E17" s="33" t="str">
        <x:v>Knowledge, Problem/Risk, Solution, Content, Execution e Measurement modelados.</x:v>
      </x:c>
      <x:c r="F17" s="33" t="str"/>
      <x:c r="G17" s="33" t="str">
        <x:v>Atividade</x:v>
      </x:c>
      <x:c r="H17" s="33" t="str">
        <x:v>Obrigatório</x:v>
      </x:c>
      <x:c r="I17" s="34" t="str">
        <x:v>A confirmar</x:v>
      </x:c>
      <x:c r="J17" s="34" t="str">
        <x:v>A definir</x:v>
      </x:c>
      <x:c r="K17" s="35"/>
      <x:c r="L17" s="35"/>
      <x:c r="M17" s="35"/>
      <x:c r="N17" s="33" t="str">
        <x:v>SCH-02</x:v>
      </x:c>
      <x:c r="O17" s="33" t="str"/>
      <x:c r="P17" s="33" t="str">
        <x:v>GTM-09</x:v>
      </x:c>
      <x:c r="Q17" s="33" t="str">
        <x:v>4.1</x:v>
      </x:c>
      <x:c r="R17" s="33" t="str">
        <x:v>Decomposição proposta</x:v>
      </x:c>
      <x:c r="S17" s="34"/>
      <x:c r="T17" s="33" t="str">
        <x:f>IF(I17="Concluída",IF(OR(S17="",M17=""),"Falta evidência/data","Confirmada"),"Não confirmada")</x:f>
        <x:v>Não confirmada</x:v>
      </x:c>
      <x:c r="U17" s="33" t="str">
        <x:f>IF(T17="Confirmada","Concluída",IF(I17="Cancelada","Cancelada",IF(L17="","Sem prazo",IF(L17&lt;TODAY(),"Prazo vencido","No prazo"))))</x:f>
        <x:v>Sem prazo</x:v>
      </x:c>
      <x:c r="V17" s="34"/>
    </x:row>
    <x:row r="18" ht="62" customHeight="1">
      <x:c r="A18" s="33" t="str">
        <x:v>SCH-04</x:v>
      </x:c>
      <x:c r="B18" s="33" t="str">
        <x:v>AR-06</x:v>
      </x:c>
      <x:c r="C18" s="33" t="str">
        <x:v>OBJ-06</x:v>
      </x:c>
      <x:c r="D18" s="33" t="str">
        <x:v>Mapear compatibilidade LEGACY_18</x:v>
      </x:c>
      <x:c r="E18" s="33" t="str">
        <x:v>Dezoito campos tratados como read model, sem duplicação do núcleo.</x:v>
      </x:c>
      <x:c r="F18" s="33" t="str"/>
      <x:c r="G18" s="33" t="str">
        <x:v>Atividade</x:v>
      </x:c>
      <x:c r="H18" s="33" t="str">
        <x:v>Obrigatório</x:v>
      </x:c>
      <x:c r="I18" s="34" t="str">
        <x:v>A confirmar</x:v>
      </x:c>
      <x:c r="J18" s="34" t="str">
        <x:v>A definir</x:v>
      </x:c>
      <x:c r="K18" s="35"/>
      <x:c r="L18" s="35"/>
      <x:c r="M18" s="35"/>
      <x:c r="N18" s="33" t="str">
        <x:v>SCH-03</x:v>
      </x:c>
      <x:c r="O18" s="33" t="str"/>
      <x:c r="P18" s="33" t="str">
        <x:v>GTM-09</x:v>
      </x:c>
      <x:c r="Q18" s="33" t="str">
        <x:v>4.1</x:v>
      </x:c>
      <x:c r="R18" s="33" t="str">
        <x:v>Decomposição proposta</x:v>
      </x:c>
      <x:c r="S18" s="34"/>
      <x:c r="T18" s="33" t="str">
        <x:f>IF(I18="Concluída",IF(OR(S18="",M18=""),"Falta evidência/data","Confirmada"),"Não confirmada")</x:f>
        <x:v>Não confirmada</x:v>
      </x:c>
      <x:c r="U18" s="33" t="str">
        <x:f>IF(T18="Confirmada","Concluída",IF(I18="Cancelada","Cancelada",IF(L18="","Sem prazo",IF(L18&lt;TODAY(),"Prazo vencido","No prazo"))))</x:f>
        <x:v>Sem prazo</x:v>
      </x:c>
      <x:c r="V18" s="34"/>
    </x:row>
    <x:row r="19" ht="62" customHeight="1">
      <x:c r="A19" s="33" t="str">
        <x:v>SCH-05</x:v>
      </x:c>
      <x:c r="B19" s="33" t="str">
        <x:v>AR-06</x:v>
      </x:c>
      <x:c r="C19" s="33" t="str">
        <x:v>OBJ-06</x:v>
      </x:c>
      <x:c r="D19" s="33" t="str">
        <x:v>Modelar framework_application</x:v>
      </x:c>
      <x:c r="E19" s="33" t="str">
        <x:v>5W2H, SCQA, PDCA e JTBD vinculados por subject_object_id e evidence_refs.</x:v>
      </x:c>
      <x:c r="F19" s="33" t="str"/>
      <x:c r="G19" s="33" t="str">
        <x:v>Atividade</x:v>
      </x:c>
      <x:c r="H19" s="33" t="str">
        <x:v>Obrigatório</x:v>
      </x:c>
      <x:c r="I19" s="34" t="str">
        <x:v>A confirmar</x:v>
      </x:c>
      <x:c r="J19" s="34" t="str">
        <x:v>A definir</x:v>
      </x:c>
      <x:c r="K19" s="35"/>
      <x:c r="L19" s="35"/>
      <x:c r="M19" s="35"/>
      <x:c r="N19" s="33" t="str">
        <x:v>SCH-03</x:v>
      </x:c>
      <x:c r="O19" s="33" t="str"/>
      <x:c r="P19" s="33" t="str">
        <x:v>GTM-09</x:v>
      </x:c>
      <x:c r="Q19" s="33" t="str">
        <x:v>4.1</x:v>
      </x:c>
      <x:c r="R19" s="33" t="str">
        <x:v>Decomposição proposta</x:v>
      </x:c>
      <x:c r="S19" s="34"/>
      <x:c r="T19" s="33" t="str">
        <x:f>IF(I19="Concluída",IF(OR(S19="",M19=""),"Falta evidência/data","Confirmada"),"Não confirmada")</x:f>
        <x:v>Não confirmada</x:v>
      </x:c>
      <x:c r="U19" s="33" t="str">
        <x:f>IF(T19="Confirmada","Concluída",IF(I19="Cancelada","Cancelada",IF(L19="","Sem prazo",IF(L19&lt;TODAY(),"Prazo vencido","No prazo"))))</x:f>
        <x:v>Sem prazo</x:v>
      </x:c>
      <x:c r="V19" s="34"/>
    </x:row>
    <x:row r="20" ht="62" customHeight="1">
      <x:c r="A20" s="33" t="str">
        <x:v>SCH-06</x:v>
      </x:c>
      <x:c r="B20" s="33" t="str">
        <x:v>AR-06</x:v>
      </x:c>
      <x:c r="C20" s="33" t="str">
        <x:v>OBJ-06</x:v>
      </x:c>
      <x:c r="D20" s="33" t="str">
        <x:v>Separar Quick Framework e Block</x:v>
      </x:c>
      <x:c r="E20" s="33" t="str">
        <x:v>Conhecimento e apresentação possuem IDs próprios e relação rendered_as.</x:v>
      </x:c>
      <x:c r="F20" s="33" t="str"/>
      <x:c r="G20" s="33" t="str">
        <x:v>Atividade</x:v>
      </x:c>
      <x:c r="H20" s="33" t="str">
        <x:v>Obrigatório</x:v>
      </x:c>
      <x:c r="I20" s="34" t="str">
        <x:v>A confirmar</x:v>
      </x:c>
      <x:c r="J20" s="34" t="str">
        <x:v>A definir</x:v>
      </x:c>
      <x:c r="K20" s="35"/>
      <x:c r="L20" s="35"/>
      <x:c r="M20" s="35"/>
      <x:c r="N20" s="33" t="str">
        <x:v>SCH-03</x:v>
      </x:c>
      <x:c r="O20" s="33" t="str"/>
      <x:c r="P20" s="33" t="str">
        <x:v>GTM-09</x:v>
      </x:c>
      <x:c r="Q20" s="33" t="str">
        <x:v>4.7</x:v>
      </x:c>
      <x:c r="R20" s="33" t="str">
        <x:v>Decomposição proposta</x:v>
      </x:c>
      <x:c r="S20" s="34"/>
      <x:c r="T20" s="33" t="str">
        <x:f>IF(I20="Concluída",IF(OR(S20="",M20=""),"Falta evidência/data","Confirmada"),"Não confirmada")</x:f>
        <x:v>Não confirmada</x:v>
      </x:c>
      <x:c r="U20" s="33" t="str">
        <x:f>IF(T20="Confirmada","Concluída",IF(I20="Cancelada","Cancelada",IF(L20="","Sem prazo",IF(L20&lt;TODAY(),"Prazo vencido","No prazo"))))</x:f>
        <x:v>Sem prazo</x:v>
      </x:c>
      <x:c r="V20" s="34"/>
    </x:row>
    <x:row r="21" ht="62" customHeight="1">
      <x:c r="A21" s="33" t="str">
        <x:v>SCH-07</x:v>
      </x:c>
      <x:c r="B21" s="33" t="str">
        <x:v>AR-06</x:v>
      </x:c>
      <x:c r="C21" s="33" t="str">
        <x:v>OBJ-06</x:v>
      </x:c>
      <x:c r="D21" s="33" t="str">
        <x:v>Validar IDs e proveniência</x:v>
      </x:c>
      <x:c r="E21" s="33" t="str">
        <x:v>Casos de referência íntegra e referência inválida exercitados.</x:v>
      </x:c>
      <x:c r="F21" s="33" t="str"/>
      <x:c r="G21" s="33" t="str">
        <x:v>Atividade</x:v>
      </x:c>
      <x:c r="H21" s="33" t="str">
        <x:v>Obrigatório</x:v>
      </x:c>
      <x:c r="I21" s="34" t="str">
        <x:v>A confirmar</x:v>
      </x:c>
      <x:c r="J21" s="34" t="str">
        <x:v>A definir</x:v>
      </x:c>
      <x:c r="K21" s="35"/>
      <x:c r="L21" s="35"/>
      <x:c r="M21" s="35"/>
      <x:c r="N21" s="33" t="str">
        <x:v>SCH-04;SCH-05;SCH-06</x:v>
      </x:c>
      <x:c r="O21" s="33" t="str"/>
      <x:c r="P21" s="33" t="str">
        <x:v>GTM-13;GTM-15</x:v>
      </x:c>
      <x:c r="Q21" s="33" t="str">
        <x:v>4.8;17.3</x:v>
      </x:c>
      <x:c r="R21" s="33" t="str">
        <x:v>Decomposição proposta</x:v>
      </x:c>
      <x:c r="S21" s="34"/>
      <x:c r="T21" s="33" t="str">
        <x:f>IF(I21="Concluída",IF(OR(S21="",M21=""),"Falta evidência/data","Confirmada"),"Não confirmada")</x:f>
        <x:v>Não confirmada</x:v>
      </x:c>
      <x:c r="U21" s="33" t="str">
        <x:f>IF(T21="Confirmada","Concluída",IF(I21="Cancelada","Cancelada",IF(L21="","Sem prazo",IF(L21&lt;TODAY(),"Prazo vencido","No prazo"))))</x:f>
        <x:v>Sem prazo</x:v>
      </x:c>
      <x:c r="V21" s="34"/>
    </x:row>
    <x:row r="22" ht="62" customHeight="1">
      <x:c r="A22" s="33" t="str">
        <x:v>BLOG-01</x:v>
      </x:c>
      <x:c r="B22" s="33" t="str">
        <x:v>AR-01</x:v>
      </x:c>
      <x:c r="C22" s="33" t="str">
        <x:v>OBJ-01</x:v>
      </x:c>
      <x:c r="D22" s="33" t="str">
        <x:v>Definir topologia e stack</x:v>
      </x:c>
      <x:c r="E22" s="33" t="str">
        <x:v>ADR com domínio, subdomínios necessários, CMS, backend, banco e hosting.</x:v>
      </x:c>
      <x:c r="F22" s="33" t="str"/>
      <x:c r="G22" s="33" t="str">
        <x:v>Atividade</x:v>
      </x:c>
      <x:c r="H22" s="33" t="str">
        <x:v>Obrigatório</x:v>
      </x:c>
      <x:c r="I22" s="34" t="str">
        <x:v>A confirmar</x:v>
      </x:c>
      <x:c r="J22" s="34" t="str">
        <x:v>A definir</x:v>
      </x:c>
      <x:c r="K22" s="35"/>
      <x:c r="L22" s="35"/>
      <x:c r="M22" s="35"/>
      <x:c r="N22" s="33" t="str">
        <x:v>GOV-01</x:v>
      </x:c>
      <x:c r="O22" s="33" t="str">
        <x:v>DEC-08</x:v>
      </x:c>
      <x:c r="P22" s="33" t="str">
        <x:v>GTM-02</x:v>
      </x:c>
      <x:c r="Q22" s="33" t="str">
        <x:v>3.1;3.2;3.3;3.4;3.9</x:v>
      </x:c>
      <x:c r="R22" s="33" t="str">
        <x:v>Decomposição proposta</x:v>
      </x:c>
      <x:c r="S22" s="34"/>
      <x:c r="T22" s="33" t="str">
        <x:f>IF(I22="Concluída",IF(OR(S22="",M22=""),"Falta evidência/data","Confirmada"),"Não confirmada")</x:f>
        <x:v>Não confirmada</x:v>
      </x:c>
      <x:c r="U22" s="33" t="str">
        <x:f>IF(T22="Confirmada","Concluída",IF(I22="Cancelada","Cancelada",IF(L22="","Sem prazo",IF(L22&lt;TODAY(),"Prazo vencido","No prazo"))))</x:f>
        <x:v>Sem prazo</x:v>
      </x:c>
      <x:c r="V22" s="34"/>
    </x:row>
    <x:row r="23" ht="62" customHeight="1">
      <x:c r="A23" s="33" t="str">
        <x:v>BLOG-02</x:v>
      </x:c>
      <x:c r="B23" s="33" t="str">
        <x:v>AR-01</x:v>
      </x:c>
      <x:c r="C23" s="33" t="str">
        <x:v>OBJ-01</x:v>
      </x:c>
      <x:c r="D23" s="33" t="str">
        <x:v>Configurar repositório e ambiente</x:v>
      </x:c>
      <x:c r="E23" s="33" t="str">
        <x:v>Ambientes e dependências registrados com procedimento de execução.</x:v>
      </x:c>
      <x:c r="F23" s="33" t="str"/>
      <x:c r="G23" s="33" t="str">
        <x:v>Atividade</x:v>
      </x:c>
      <x:c r="H23" s="33" t="str">
        <x:v>Obrigatório</x:v>
      </x:c>
      <x:c r="I23" s="34" t="str">
        <x:v>A confirmar</x:v>
      </x:c>
      <x:c r="J23" s="34" t="str">
        <x:v>A definir</x:v>
      </x:c>
      <x:c r="K23" s="35"/>
      <x:c r="L23" s="35"/>
      <x:c r="M23" s="35"/>
      <x:c r="N23" s="33" t="str">
        <x:v>BLOG-01</x:v>
      </x:c>
      <x:c r="O23" s="33" t="str"/>
      <x:c r="P23" s="33" t="str">
        <x:v>GTM-02</x:v>
      </x:c>
      <x:c r="Q23" s="33" t="str">
        <x:v>3.6;4.4</x:v>
      </x:c>
      <x:c r="R23" s="33" t="str">
        <x:v>Decomposição proposta</x:v>
      </x:c>
      <x:c r="S23" s="34"/>
      <x:c r="T23" s="33" t="str">
        <x:f>IF(I23="Concluída",IF(OR(S23="",M23=""),"Falta evidência/data","Confirmada"),"Não confirmada")</x:f>
        <x:v>Não confirmada</x:v>
      </x:c>
      <x:c r="U23" s="33" t="str">
        <x:f>IF(T23="Confirmada","Concluída",IF(I23="Cancelada","Cancelada",IF(L23="","Sem prazo",IF(L23&lt;TODAY(),"Prazo vencido","No prazo"))))</x:f>
        <x:v>Sem prazo</x:v>
      </x:c>
      <x:c r="V23" s="34"/>
    </x:row>
    <x:row r="24" ht="62" customHeight="1">
      <x:c r="A24" s="33" t="str">
        <x:v>BLOG-03</x:v>
      </x:c>
      <x:c r="B24" s="33" t="str">
        <x:v>AR-01</x:v>
      </x:c>
      <x:c r="C24" s="33" t="str">
        <x:v>OBJ-01</x:v>
      </x:c>
      <x:c r="D24" s="33" t="str">
        <x:v>Modelar conteúdo no CMS</x:v>
      </x:c>
      <x:c r="E24" s="33" t="str">
        <x:v>Artigos, autores, pilares, evidências e assets ligados ao modelo canônico.</x:v>
      </x:c>
      <x:c r="F24" s="33" t="str"/>
      <x:c r="G24" s="33" t="str">
        <x:v>Atividade</x:v>
      </x:c>
      <x:c r="H24" s="33" t="str">
        <x:v>Obrigatório</x:v>
      </x:c>
      <x:c r="I24" s="34" t="str">
        <x:v>A confirmar</x:v>
      </x:c>
      <x:c r="J24" s="34" t="str">
        <x:v>A definir</x:v>
      </x:c>
      <x:c r="K24" s="35"/>
      <x:c r="L24" s="35"/>
      <x:c r="M24" s="35"/>
      <x:c r="N24" s="33" t="str">
        <x:v>BLOG-02;SCH-07</x:v>
      </x:c>
      <x:c r="O24" s="33" t="str"/>
      <x:c r="P24" s="33" t="str">
        <x:v>GTM-02;GTM-09</x:v>
      </x:c>
      <x:c r="Q24" s="33" t="str">
        <x:v>3.2;4.1</x:v>
      </x:c>
      <x:c r="R24" s="33" t="str">
        <x:v>Decomposição proposta</x:v>
      </x:c>
      <x:c r="S24" s="34"/>
      <x:c r="T24" s="33" t="str">
        <x:f>IF(I24="Concluída",IF(OR(S24="",M24=""),"Falta evidência/data","Confirmada"),"Não confirmada")</x:f>
        <x:v>Não confirmada</x:v>
      </x:c>
      <x:c r="U24" s="33" t="str">
        <x:f>IF(T24="Confirmada","Concluída",IF(I24="Cancelada","Cancelada",IF(L24="","Sem prazo",IF(L24&lt;TODAY(),"Prazo vencido","No prazo"))))</x:f>
        <x:v>Sem prazo</x:v>
      </x:c>
      <x:c r="V24" s="34"/>
    </x:row>
    <x:row r="25" ht="62" customHeight="1">
      <x:c r="A25" s="33" t="str">
        <x:v>BLOG-04</x:v>
      </x:c>
      <x:c r="B25" s="33" t="str">
        <x:v>AR-01</x:v>
      </x:c>
      <x:c r="C25" s="33" t="str">
        <x:v>OBJ-01</x:v>
      </x:c>
      <x:c r="D25" s="33" t="str">
        <x:v>Implementar Design System</x:v>
      </x:c>
      <x:c r="E25" s="33" t="str">
        <x:v>Tokens, componentes e golden screens definidos e verificados.</x:v>
      </x:c>
      <x:c r="F25" s="33" t="str"/>
      <x:c r="G25" s="33" t="str">
        <x:v>Atividade</x:v>
      </x:c>
      <x:c r="H25" s="33" t="str">
        <x:v>Obrigatório</x:v>
      </x:c>
      <x:c r="I25" s="34" t="str">
        <x:v>A confirmar</x:v>
      </x:c>
      <x:c r="J25" s="34" t="str">
        <x:v>A definir</x:v>
      </x:c>
      <x:c r="K25" s="35"/>
      <x:c r="L25" s="35"/>
      <x:c r="M25" s="35"/>
      <x:c r="N25" s="33" t="str">
        <x:v>BLOG-01</x:v>
      </x:c>
      <x:c r="O25" s="33" t="str"/>
      <x:c r="P25" s="33" t="str">
        <x:v>GTM-02</x:v>
      </x:c>
      <x:c r="Q25" s="33" t="str">
        <x:v>3.1;4.7</x:v>
      </x:c>
      <x:c r="R25" s="33" t="str">
        <x:v>Decomposição proposta</x:v>
      </x:c>
      <x:c r="S25" s="34"/>
      <x:c r="T25" s="33" t="str">
        <x:f>IF(I25="Concluída",IF(OR(S25="",M25=""),"Falta evidência/data","Confirmada"),"Não confirmada")</x:f>
        <x:v>Não confirmada</x:v>
      </x:c>
      <x:c r="U25" s="33" t="str">
        <x:f>IF(T25="Confirmada","Concluída",IF(I25="Cancelada","Cancelada",IF(L25="","Sem prazo",IF(L25&lt;TODAY(),"Prazo vencido","No prazo"))))</x:f>
        <x:v>Sem prazo</x:v>
      </x:c>
      <x:c r="V25" s="34"/>
    </x:row>
    <x:row r="26" ht="62" customHeight="1">
      <x:c r="A26" s="33" t="str">
        <x:v>BLOG-05</x:v>
      </x:c>
      <x:c r="B26" s="33" t="str">
        <x:v>AR-01</x:v>
      </x:c>
      <x:c r="C26" s="33" t="str">
        <x:v>OBJ-01</x:v>
      </x:c>
      <x:c r="D26" s="33" t="str">
        <x:v>Implementar páginas e navegação</x:v>
      </x:c>
      <x:c r="E26" s="33" t="str">
        <x:v>Blog e páginas de conteúdo acessíveis com links a soluções.</x:v>
      </x:c>
      <x:c r="F26" s="33" t="str"/>
      <x:c r="G26" s="33" t="str">
        <x:v>Atividade</x:v>
      </x:c>
      <x:c r="H26" s="33" t="str">
        <x:v>Obrigatório</x:v>
      </x:c>
      <x:c r="I26" s="34" t="str">
        <x:v>A confirmar</x:v>
      </x:c>
      <x:c r="J26" s="34" t="str">
        <x:v>A definir</x:v>
      </x:c>
      <x:c r="K26" s="35"/>
      <x:c r="L26" s="35"/>
      <x:c r="M26" s="35"/>
      <x:c r="N26" s="33" t="str">
        <x:v>BLOG-03;BLOG-04</x:v>
      </x:c>
      <x:c r="O26" s="33" t="str"/>
      <x:c r="P26" s="33" t="str">
        <x:v>GTM-02;GTM-08</x:v>
      </x:c>
      <x:c r="Q26" s="33" t="str">
        <x:v>3.7</x:v>
      </x:c>
      <x:c r="R26" s="33" t="str">
        <x:v>Decomposição proposta</x:v>
      </x:c>
      <x:c r="S26" s="34"/>
      <x:c r="T26" s="33" t="str">
        <x:f>IF(I26="Concluída",IF(OR(S26="",M26=""),"Falta evidência/data","Confirmada"),"Não confirmada")</x:f>
        <x:v>Não confirmada</x:v>
      </x:c>
      <x:c r="U26" s="33" t="str">
        <x:f>IF(T26="Confirmada","Concluída",IF(I26="Cancelada","Cancelada",IF(L26="","Sem prazo",IF(L26&lt;TODAY(),"Prazo vencido","No prazo"))))</x:f>
        <x:v>Sem prazo</x:v>
      </x:c>
      <x:c r="V26" s="34"/>
    </x:row>
    <x:row r="27" ht="62" customHeight="1">
      <x:c r="A27" s="33" t="str">
        <x:v>BLOG-06</x:v>
      </x:c>
      <x:c r="B27" s="33" t="str">
        <x:v>AR-01</x:v>
      </x:c>
      <x:c r="C27" s="33" t="str">
        <x:v>OBJ-01</x:v>
      </x:c>
      <x:c r="D27" s="33" t="str">
        <x:v>Configurar SEO e metadados</x:v>
      </x:c>
      <x:c r="E27" s="33" t="str">
        <x:v>Conteúdo público possui metadados e estrutura de descoberta revisados.</x:v>
      </x:c>
      <x:c r="F27" s="33" t="str"/>
      <x:c r="G27" s="33" t="str">
        <x:v>Atividade</x:v>
      </x:c>
      <x:c r="H27" s="33" t="str">
        <x:v>Obrigatório</x:v>
      </x:c>
      <x:c r="I27" s="34" t="str">
        <x:v>A confirmar</x:v>
      </x:c>
      <x:c r="J27" s="34" t="str">
        <x:v>A definir</x:v>
      </x:c>
      <x:c r="K27" s="35"/>
      <x:c r="L27" s="35"/>
      <x:c r="M27" s="35"/>
      <x:c r="N27" s="33" t="str">
        <x:v>BLOG-05</x:v>
      </x:c>
      <x:c r="O27" s="33" t="str"/>
      <x:c r="P27" s="33" t="str">
        <x:v>GTM-02</x:v>
      </x:c>
      <x:c r="Q27" s="33" t="str">
        <x:v>1.4</x:v>
      </x:c>
      <x:c r="R27" s="33" t="str">
        <x:v>Decomposição proposta</x:v>
      </x:c>
      <x:c r="S27" s="34"/>
      <x:c r="T27" s="33" t="str">
        <x:f>IF(I27="Concluída",IF(OR(S27="",M27=""),"Falta evidência/data","Confirmada"),"Não confirmada")</x:f>
        <x:v>Não confirmada</x:v>
      </x:c>
      <x:c r="U27" s="33" t="str">
        <x:f>IF(T27="Confirmada","Concluída",IF(I27="Cancelada","Cancelada",IF(L27="","Sem prazo",IF(L27&lt;TODAY(),"Prazo vencido","No prazo"))))</x:f>
        <x:v>Sem prazo</x:v>
      </x:c>
      <x:c r="V27" s="34"/>
    </x:row>
    <x:row r="28" ht="62" customHeight="1">
      <x:c r="A28" s="33" t="str">
        <x:v>BLOG-07</x:v>
      </x:c>
      <x:c r="B28" s="33" t="str">
        <x:v>AR-01</x:v>
      </x:c>
      <x:c r="C28" s="33" t="str">
        <x:v>OBJ-01</x:v>
      </x:c>
      <x:c r="D28" s="33" t="str">
        <x:v>Definir identidade, APIs e permissões</x:v>
      </x:c>
      <x:c r="E28" s="33" t="str">
        <x:v>Contratos, credenciais e limites de acesso documentados.</x:v>
      </x:c>
      <x:c r="F28" s="33" t="str"/>
      <x:c r="G28" s="33" t="str">
        <x:v>Atividade</x:v>
      </x:c>
      <x:c r="H28" s="33" t="str">
        <x:v>Obrigatório</x:v>
      </x:c>
      <x:c r="I28" s="34" t="str">
        <x:v>A confirmar</x:v>
      </x:c>
      <x:c r="J28" s="34" t="str">
        <x:v>A definir</x:v>
      </x:c>
      <x:c r="K28" s="35"/>
      <x:c r="L28" s="35"/>
      <x:c r="M28" s="35"/>
      <x:c r="N28" s="33" t="str">
        <x:v>BLOG-01</x:v>
      </x:c>
      <x:c r="O28" s="33" t="str">
        <x:v>DEC-12</x:v>
      </x:c>
      <x:c r="P28" s="33" t="str">
        <x:v>GTM-02</x:v>
      </x:c>
      <x:c r="Q28" s="33" t="str">
        <x:v>3.5;4.2;6.3;6.4</x:v>
      </x:c>
      <x:c r="R28" s="33" t="str">
        <x:v>Decomposição proposta</x:v>
      </x:c>
      <x:c r="S28" s="34"/>
      <x:c r="T28" s="33" t="str">
        <x:f>IF(I28="Concluída",IF(OR(S28="",M28=""),"Falta evidência/data","Confirmada"),"Não confirmada")</x:f>
        <x:v>Não confirmada</x:v>
      </x:c>
      <x:c r="U28" s="33" t="str">
        <x:f>IF(T28="Confirmada","Concluída",IF(I28="Cancelada","Cancelada",IF(L28="","Sem prazo",IF(L28&lt;TODAY(),"Prazo vencido","No prazo"))))</x:f>
        <x:v>Sem prazo</x:v>
      </x:c>
      <x:c r="V28" s="34"/>
    </x:row>
    <x:row r="29" ht="62" customHeight="1">
      <x:c r="A29" s="33" t="str">
        <x:v>BLOG-08</x:v>
      </x:c>
      <x:c r="B29" s="33" t="str">
        <x:v>AR-01</x:v>
      </x:c>
      <x:c r="C29" s="33" t="str">
        <x:v>OBJ-01</x:v>
      </x:c>
      <x:c r="D29" s="33" t="str">
        <x:v>Integrar newsletter e CRM</x:v>
      </x:c>
      <x:c r="E29" s="33" t="str">
        <x:v>Cadastro de teste percorre integração e registra resultado verificável.</x:v>
      </x:c>
      <x:c r="F29" s="33" t="str"/>
      <x:c r="G29" s="33" t="str">
        <x:v>Atividade</x:v>
      </x:c>
      <x:c r="H29" s="33" t="str">
        <x:v>Obrigatório</x:v>
      </x:c>
      <x:c r="I29" s="34" t="str">
        <x:v>A confirmar</x:v>
      </x:c>
      <x:c r="J29" s="34" t="str">
        <x:v>A definir</x:v>
      </x:c>
      <x:c r="K29" s="35"/>
      <x:c r="L29" s="35"/>
      <x:c r="M29" s="35"/>
      <x:c r="N29" s="33" t="str">
        <x:v>BLOG-07;DST-04</x:v>
      </x:c>
      <x:c r="O29" s="33" t="str"/>
      <x:c r="P29" s="33" t="str">
        <x:v>GTM-02;GTM-10</x:v>
      </x:c>
      <x:c r="Q29" s="33" t="str">
        <x:v>15.2</x:v>
      </x:c>
      <x:c r="R29" s="33" t="str">
        <x:v>Decomposição proposta</x:v>
      </x:c>
      <x:c r="S29" s="34"/>
      <x:c r="T29" s="33" t="str">
        <x:f>IF(I29="Concluída",IF(OR(S29="",M29=""),"Falta evidência/data","Confirmada"),"Não confirmada")</x:f>
        <x:v>Não confirmada</x:v>
      </x:c>
      <x:c r="U29" s="33" t="str">
        <x:f>IF(T29="Confirmada","Concluída",IF(I29="Cancelada","Cancelada",IF(L29="","Sem prazo",IF(L29&lt;TODAY(),"Prazo vencido","No prazo"))))</x:f>
        <x:v>Sem prazo</x:v>
      </x:c>
      <x:c r="V29" s="34"/>
    </x:row>
    <x:row r="30" ht="62" customHeight="1">
      <x:c r="A30" s="33" t="str">
        <x:v>BLOG-09</x:v>
      </x:c>
      <x:c r="B30" s="33" t="str">
        <x:v>AR-01</x:v>
      </x:c>
      <x:c r="C30" s="33" t="str">
        <x:v>OBJ-01</x:v>
      </x:c>
      <x:c r="D30" s="33" t="str">
        <x:v>Definir deploy, saúde e rollback</x:v>
      </x:c>
      <x:c r="E30" s="33" t="str">
        <x:v>Checklist e procedimento de reversão documentados e exercitados.</x:v>
      </x:c>
      <x:c r="F30" s="33" t="str"/>
      <x:c r="G30" s="33" t="str">
        <x:v>Atividade</x:v>
      </x:c>
      <x:c r="H30" s="33" t="str">
        <x:v>Obrigatório</x:v>
      </x:c>
      <x:c r="I30" s="34" t="str">
        <x:v>A confirmar</x:v>
      </x:c>
      <x:c r="J30" s="34" t="str">
        <x:v>A definir</x:v>
      </x:c>
      <x:c r="K30" s="35"/>
      <x:c r="L30" s="35"/>
      <x:c r="M30" s="35"/>
      <x:c r="N30" s="33" t="str">
        <x:v>BLOG-05;BLOG-07</x:v>
      </x:c>
      <x:c r="O30" s="33" t="str">
        <x:v>DEC-12</x:v>
      </x:c>
      <x:c r="P30" s="33" t="str">
        <x:v>GTM-02</x:v>
      </x:c>
      <x:c r="Q30" s="33" t="str">
        <x:v>5.1;5.2;5.3;5.4;5.5;5.6</x:v>
      </x:c>
      <x:c r="R30" s="33" t="str">
        <x:v>Decomposição proposta</x:v>
      </x:c>
      <x:c r="S30" s="34"/>
      <x:c r="T30" s="33" t="str">
        <x:f>IF(I30="Concluída",IF(OR(S30="",M30=""),"Falta evidência/data","Confirmada"),"Não confirmada")</x:f>
        <x:v>Não confirmada</x:v>
      </x:c>
      <x:c r="U30" s="33" t="str">
        <x:f>IF(T30="Confirmada","Concluída",IF(I30="Cancelada","Cancelada",IF(L30="","Sem prazo",IF(L30&lt;TODAY(),"Prazo vencido","No prazo"))))</x:f>
        <x:v>Sem prazo</x:v>
      </x:c>
      <x:c r="V30" s="34"/>
    </x:row>
    <x:row r="31" ht="62" customHeight="1">
      <x:c r="A31" s="33" t="str">
        <x:v>BLOG-10</x:v>
      </x:c>
      <x:c r="B31" s="33" t="str">
        <x:v>AR-01</x:v>
      </x:c>
      <x:c r="C31" s="33" t="str">
        <x:v>OBJ-01</x:v>
      </x:c>
      <x:c r="D31" s="33" t="str">
        <x:v>Validar blog full stack</x:v>
      </x:c>
      <x:c r="E31" s="33" t="str">
        <x:v>Navegação, conteúdo, links e medição verificados em ambiente de lançamento.</x:v>
      </x:c>
      <x:c r="F31" s="33" t="str"/>
      <x:c r="G31" s="33" t="str">
        <x:v>Atividade</x:v>
      </x:c>
      <x:c r="H31" s="33" t="str">
        <x:v>Obrigatório</x:v>
      </x:c>
      <x:c r="I31" s="34" t="str">
        <x:v>A confirmar</x:v>
      </x:c>
      <x:c r="J31" s="34" t="str">
        <x:v>A definir</x:v>
      </x:c>
      <x:c r="K31" s="35"/>
      <x:c r="L31" s="35"/>
      <x:c r="M31" s="35"/>
      <x:c r="N31" s="33" t="str">
        <x:v>BLOG-06;BLOG-08;BLOG-09;DST-06</x:v>
      </x:c>
      <x:c r="O31" s="33" t="str"/>
      <x:c r="P31" s="33" t="str">
        <x:v>GTM-01;GTM-02</x:v>
      </x:c>
      <x:c r="Q31" s="33" t="str">
        <x:v>2.6;4.8</x:v>
      </x:c>
      <x:c r="R31" s="33" t="str">
        <x:v>Decomposição proposta</x:v>
      </x:c>
      <x:c r="S31" s="34"/>
      <x:c r="T31" s="33" t="str">
        <x:f>IF(I31="Concluída",IF(OR(S31="",M31=""),"Falta evidência/data","Confirmada"),"Não confirmada")</x:f>
        <x:v>Não confirmada</x:v>
      </x:c>
      <x:c r="U31" s="33" t="str">
        <x:f>IF(T31="Confirmada","Concluída",IF(I31="Cancelada","Cancelada",IF(L31="","Sem prazo",IF(L31&lt;TODAY(),"Prazo vencido","No prazo"))))</x:f>
        <x:v>Sem prazo</x:v>
      </x:c>
      <x:c r="V31" s="34"/>
    </x:row>
    <x:row r="32" ht="62" customHeight="1">
      <x:c r="A32" s="33" t="str">
        <x:v>EDT-01</x:v>
      </x:c>
      <x:c r="B32" s="33" t="str">
        <x:v>AR-02</x:v>
      </x:c>
      <x:c r="C32" s="33" t="str">
        <x:v>OBJ-02</x:v>
      </x:c>
      <x:c r="D32" s="33" t="str">
        <x:v>Aprovar pilares e níveis de consciência</x:v>
      </x:c>
      <x:c r="E32" s="33" t="str">
        <x:v>Matriz separa pilar, tema, nível e resultado de cada pack.</x:v>
      </x:c>
      <x:c r="F32" s="33" t="str"/>
      <x:c r="G32" s="33" t="str">
        <x:v>Atividade</x:v>
      </x:c>
      <x:c r="H32" s="33" t="str">
        <x:v>Obrigatório</x:v>
      </x:c>
      <x:c r="I32" s="34" t="str">
        <x:v>A confirmar</x:v>
      </x:c>
      <x:c r="J32" s="34" t="str">
        <x:v>A definir</x:v>
      </x:c>
      <x:c r="K32" s="35"/>
      <x:c r="L32" s="35"/>
      <x:c r="M32" s="35"/>
      <x:c r="N32" s="33" t="str">
        <x:v>GOV-01</x:v>
      </x:c>
      <x:c r="O32" s="33" t="str">
        <x:v>DEC-10</x:v>
      </x:c>
      <x:c r="P32" s="33" t="str">
        <x:v>GTM-01;GTM-02</x:v>
      </x:c>
      <x:c r="Q32" s="33" t="str">
        <x:v>11.1;11.4</x:v>
      </x:c>
      <x:c r="R32" s="33" t="str">
        <x:v>Decomposição proposta</x:v>
      </x:c>
      <x:c r="S32" s="34"/>
      <x:c r="T32" s="33" t="str">
        <x:f>IF(I32="Concluída",IF(OR(S32="",M32=""),"Falta evidência/data","Confirmada"),"Não confirmada")</x:f>
        <x:v>Não confirmada</x:v>
      </x:c>
      <x:c r="U32" s="33" t="str">
        <x:f>IF(T32="Confirmada","Concluída",IF(I32="Cancelada","Cancelada",IF(L32="","Sem prazo",IF(L32&lt;TODAY(),"Prazo vencido","No prazo"))))</x:f>
        <x:v>Sem prazo</x:v>
      </x:c>
      <x:c r="V32" s="34"/>
    </x:row>
    <x:row r="33" ht="62" customHeight="1">
      <x:c r="A33" s="33" t="str">
        <x:v>EDT-02</x:v>
      </x:c>
      <x:c r="B33" s="33" t="str">
        <x:v>AR-02</x:v>
      </x:c>
      <x:c r="C33" s="33" t="str">
        <x:v>OBJ-02</x:v>
      </x:c>
      <x:c r="D33" s="33" t="str">
        <x:v>Consolidar PEM</x:v>
      </x:c>
      <x:c r="E33" s="33" t="str">
        <x:v>Quatorze tópicos do PEM preenchidos e relacionados ao plano.</x:v>
      </x:c>
      <x:c r="F33" s="33" t="str"/>
      <x:c r="G33" s="33" t="str">
        <x:v>Atividade</x:v>
      </x:c>
      <x:c r="H33" s="33" t="str">
        <x:v>Obrigatório</x:v>
      </x:c>
      <x:c r="I33" s="34" t="str">
        <x:v>A confirmar</x:v>
      </x:c>
      <x:c r="J33" s="34" t="str">
        <x:v>A definir</x:v>
      </x:c>
      <x:c r="K33" s="35"/>
      <x:c r="L33" s="35"/>
      <x:c r="M33" s="35"/>
      <x:c r="N33" s="33" t="str">
        <x:v>EDT-01;GOV-02</x:v>
      </x:c>
      <x:c r="O33" s="33" t="str"/>
      <x:c r="P33" s="33" t="str">
        <x:v>GTM-17</x:v>
      </x:c>
      <x:c r="Q33" s="33" t="str">
        <x:v>11.1;11.2;11.3</x:v>
      </x:c>
      <x:c r="R33" s="33" t="str">
        <x:v>Decomposição proposta</x:v>
      </x:c>
      <x:c r="S33" s="34"/>
      <x:c r="T33" s="33" t="str">
        <x:f>IF(I33="Concluída",IF(OR(S33="",M33=""),"Falta evidência/data","Confirmada"),"Não confirmada")</x:f>
        <x:v>Não confirmada</x:v>
      </x:c>
      <x:c r="U33" s="33" t="str">
        <x:f>IF(T33="Confirmada","Concluída",IF(I33="Cancelada","Cancelada",IF(L33="","Sem prazo",IF(L33&lt;TODAY(),"Prazo vencido","No prazo"))))</x:f>
        <x:v>Sem prazo</x:v>
      </x:c>
      <x:c r="V33" s="34"/>
    </x:row>
    <x:row r="34" ht="62" customHeight="1">
      <x:c r="A34" s="33" t="str">
        <x:v>EDT-03</x:v>
      </x:c>
      <x:c r="B34" s="33" t="str">
        <x:v>AR-02</x:v>
      </x:c>
      <x:c r="C34" s="33" t="str">
        <x:v>OBJ-02</x:v>
      </x:c>
      <x:c r="D34" s="33" t="str">
        <x:v>Definir pipeline editorial</x:v>
      </x:c>
      <x:c r="E34" s="33" t="str">
        <x:v>Pesquisa, produção, revisão, derivação, distribuição e aprendizado com handoffs.</x:v>
      </x:c>
      <x:c r="F34" s="33" t="str"/>
      <x:c r="G34" s="33" t="str">
        <x:v>Atividade</x:v>
      </x:c>
      <x:c r="H34" s="33" t="str">
        <x:v>Obrigatório</x:v>
      </x:c>
      <x:c r="I34" s="34" t="str">
        <x:v>A confirmar</x:v>
      </x:c>
      <x:c r="J34" s="34" t="str">
        <x:v>A definir</x:v>
      </x:c>
      <x:c r="K34" s="35"/>
      <x:c r="L34" s="35"/>
      <x:c r="M34" s="35"/>
      <x:c r="N34" s="33" t="str">
        <x:v>GOV-05;EDT-02</x:v>
      </x:c>
      <x:c r="O34" s="33" t="str"/>
      <x:c r="P34" s="33" t="str">
        <x:v>GTM-04;GTM-05</x:v>
      </x:c>
      <x:c r="Q34" s="33" t="str">
        <x:v>13.1;13.3</x:v>
      </x:c>
      <x:c r="R34" s="33" t="str">
        <x:v>Decomposição proposta</x:v>
      </x:c>
      <x:c r="S34" s="34"/>
      <x:c r="T34" s="33" t="str">
        <x:f>IF(I34="Concluída",IF(OR(S34="",M34=""),"Falta evidência/data","Confirmada"),"Não confirmada")</x:f>
        <x:v>Não confirmada</x:v>
      </x:c>
      <x:c r="U34" s="33" t="str">
        <x:f>IF(T34="Confirmada","Concluída",IF(I34="Cancelada","Cancelada",IF(L34="","Sem prazo",IF(L34&lt;TODAY(),"Prazo vencido","No prazo"))))</x:f>
        <x:v>Sem prazo</x:v>
      </x:c>
      <x:c r="V34" s="34"/>
    </x:row>
    <x:row r="35" ht="62" customHeight="1">
      <x:c r="A35" s="33" t="str">
        <x:v>AGT-01</x:v>
      </x:c>
      <x:c r="B35" s="33" t="str">
        <x:v>AR-03</x:v>
      </x:c>
      <x:c r="C35" s="33" t="str">
        <x:v>OBJ-03</x:v>
      </x:c>
      <x:c r="D35" s="33" t="str">
        <x:v>Inventariar agentes e capacidades</x:v>
      </x:c>
      <x:c r="E35" s="33" t="str">
        <x:v>Sete nomes do GTM e oito capacidades conceituais mapeados sem equivalência presumida.</x:v>
      </x:c>
      <x:c r="F35" s="33" t="str"/>
      <x:c r="G35" s="33" t="str">
        <x:v>Atividade</x:v>
      </x:c>
      <x:c r="H35" s="33" t="str">
        <x:v>Obrigatório</x:v>
      </x:c>
      <x:c r="I35" s="34" t="str">
        <x:v>A confirmar</x:v>
      </x:c>
      <x:c r="J35" s="34" t="str">
        <x:v>A definir</x:v>
      </x:c>
      <x:c r="K35" s="35"/>
      <x:c r="L35" s="35"/>
      <x:c r="M35" s="35"/>
      <x:c r="N35" s="33" t="str">
        <x:v>GOV-05</x:v>
      </x:c>
      <x:c r="O35" s="33" t="str">
        <x:v>DEC-11</x:v>
      </x:c>
      <x:c r="P35" s="33" t="str">
        <x:v>GTM-02;GTM-07</x:v>
      </x:c>
      <x:c r="Q35" s="33" t="str">
        <x:v>4.3;14.3;7.5</x:v>
      </x:c>
      <x:c r="R35" s="33" t="str">
        <x:v>Decomposição proposta</x:v>
      </x:c>
      <x:c r="S35" s="34"/>
      <x:c r="T35" s="33" t="str">
        <x:f>IF(I35="Concluída",IF(OR(S35="",M35=""),"Falta evidência/data","Confirmada"),"Não confirmada")</x:f>
        <x:v>Não confirmada</x:v>
      </x:c>
      <x:c r="U35" s="33" t="str">
        <x:f>IF(T35="Confirmada","Concluída",IF(I35="Cancelada","Cancelada",IF(L35="","Sem prazo",IF(L35&lt;TODAY(),"Prazo vencido","No prazo"))))</x:f>
        <x:v>Sem prazo</x:v>
      </x:c>
      <x:c r="V35" s="34"/>
    </x:row>
    <x:row r="36" ht="62" customHeight="1">
      <x:c r="A36" s="33" t="str">
        <x:v>AGT-02</x:v>
      </x:c>
      <x:c r="B36" s="33" t="str">
        <x:v>AR-03</x:v>
      </x:c>
      <x:c r="C36" s="33" t="str">
        <x:v>OBJ-03</x:v>
      </x:c>
      <x:c r="D36" s="33" t="str">
        <x:v>Formalizar Copiloto operacional</x:v>
      </x:c>
      <x:c r="E36" s="33" t="str">
        <x:v>Contrato de tarefas, campanhas, filas e reconciliação com GitHub.</x:v>
      </x:c>
      <x:c r="F36" s="33" t="str"/>
      <x:c r="G36" s="33" t="str">
        <x:v>Atividade</x:v>
      </x:c>
      <x:c r="H36" s="33" t="str">
        <x:v>Obrigatório</x:v>
      </x:c>
      <x:c r="I36" s="34" t="str">
        <x:v>A confirmar</x:v>
      </x:c>
      <x:c r="J36" s="34" t="str">
        <x:v>A definir</x:v>
      </x:c>
      <x:c r="K36" s="35"/>
      <x:c r="L36" s="35"/>
      <x:c r="M36" s="35"/>
      <x:c r="N36" s="33" t="str">
        <x:v>AGT-01;SCH-07</x:v>
      </x:c>
      <x:c r="O36" s="33" t="str"/>
      <x:c r="P36" s="33" t="str">
        <x:v>GTM-01;GTM-16</x:v>
      </x:c>
      <x:c r="Q36" s="33" t="str">
        <x:v>15.1;6.6</x:v>
      </x:c>
      <x:c r="R36" s="33" t="str">
        <x:v>Decomposição proposta</x:v>
      </x:c>
      <x:c r="S36" s="34"/>
      <x:c r="T36" s="33" t="str">
        <x:f>IF(I36="Concluída",IF(OR(S36="",M36=""),"Falta evidência/data","Confirmada"),"Não confirmada")</x:f>
        <x:v>Não confirmada</x:v>
      </x:c>
      <x:c r="U36" s="33" t="str">
        <x:f>IF(T36="Confirmada","Concluída",IF(I36="Cancelada","Cancelada",IF(L36="","Sem prazo",IF(L36&lt;TODAY(),"Prazo vencido","No prazo"))))</x:f>
        <x:v>Sem prazo</x:v>
      </x:c>
      <x:c r="V36" s="34"/>
    </x:row>
    <x:row r="37" ht="62" customHeight="1">
      <x:c r="A37" s="33" t="str">
        <x:v>AGT-03</x:v>
      </x:c>
      <x:c r="B37" s="33" t="str">
        <x:v>AR-03</x:v>
      </x:c>
      <x:c r="C37" s="33" t="str">
        <x:v>OBJ-03</x:v>
      </x:c>
      <x:c r="D37" s="33" t="str">
        <x:v>Formalizar Vera e especialista RC</x:v>
      </x:c>
      <x:c r="E37" s="33" t="str">
        <x:v>Papéis, fontes, limites e handoffs descritos.</x:v>
      </x:c>
      <x:c r="F37" s="33" t="str"/>
      <x:c r="G37" s="33" t="str">
        <x:v>Atividade</x:v>
      </x:c>
      <x:c r="H37" s="33" t="str">
        <x:v>Obrigatório</x:v>
      </x:c>
      <x:c r="I37" s="34" t="str">
        <x:v>A confirmar</x:v>
      </x:c>
      <x:c r="J37" s="34" t="str">
        <x:v>A definir</x:v>
      </x:c>
      <x:c r="K37" s="35"/>
      <x:c r="L37" s="35"/>
      <x:c r="M37" s="35"/>
      <x:c r="N37" s="33" t="str">
        <x:v>AGT-01</x:v>
      </x:c>
      <x:c r="O37" s="33" t="str"/>
      <x:c r="P37" s="33" t="str">
        <x:v>GTM-07</x:v>
      </x:c>
      <x:c r="Q37" s="33" t="str">
        <x:v>4.3;6.6</x:v>
      </x:c>
      <x:c r="R37" s="33" t="str">
        <x:v>Decomposição proposta</x:v>
      </x:c>
      <x:c r="S37" s="34"/>
      <x:c r="T37" s="33" t="str">
        <x:f>IF(I37="Concluída",IF(OR(S37="",M37=""),"Falta evidência/data","Confirmada"),"Não confirmada")</x:f>
        <x:v>Não confirmada</x:v>
      </x:c>
      <x:c r="U37" s="33" t="str">
        <x:f>IF(T37="Confirmada","Concluída",IF(I37="Cancelada","Cancelada",IF(L37="","Sem prazo",IF(L37&lt;TODAY(),"Prazo vencido","No prazo"))))</x:f>
        <x:v>Sem prazo</x:v>
      </x:c>
      <x:c r="V37" s="34"/>
    </x:row>
    <x:row r="38" ht="62" customHeight="1">
      <x:c r="A38" s="33" t="str">
        <x:v>AGT-04</x:v>
      </x:c>
      <x:c r="B38" s="33" t="str">
        <x:v>AR-03</x:v>
      </x:c>
      <x:c r="C38" s="33" t="str">
        <x:v>OBJ-03</x:v>
      </x:c>
      <x:c r="D38" s="33" t="str">
        <x:v>Formalizar Video Maker</x:v>
      </x:c>
      <x:c r="E38" s="33" t="str">
        <x:v>Entradas, saídas e aceite vinculados ao pipeline editorial.</x:v>
      </x:c>
      <x:c r="F38" s="33" t="str"/>
      <x:c r="G38" s="33" t="str">
        <x:v>Atividade</x:v>
      </x:c>
      <x:c r="H38" s="33" t="str">
        <x:v>Obrigatório</x:v>
      </x:c>
      <x:c r="I38" s="34" t="str">
        <x:v>A confirmar</x:v>
      </x:c>
      <x:c r="J38" s="34" t="str">
        <x:v>A definir</x:v>
      </x:c>
      <x:c r="K38" s="35"/>
      <x:c r="L38" s="35"/>
      <x:c r="M38" s="35"/>
      <x:c r="N38" s="33" t="str">
        <x:v>AGT-01;EDT-03</x:v>
      </x:c>
      <x:c r="O38" s="33" t="str"/>
      <x:c r="P38" s="33" t="str">
        <x:v>GTM-07</x:v>
      </x:c>
      <x:c r="Q38" s="33" t="str">
        <x:v>4.3</x:v>
      </x:c>
      <x:c r="R38" s="33" t="str">
        <x:v>Decomposição proposta</x:v>
      </x:c>
      <x:c r="S38" s="34"/>
      <x:c r="T38" s="33" t="str">
        <x:f>IF(I38="Concluída",IF(OR(S38="",M38=""),"Falta evidência/data","Confirmada"),"Não confirmada")</x:f>
        <x:v>Não confirmada</x:v>
      </x:c>
      <x:c r="U38" s="33" t="str">
        <x:f>IF(T38="Confirmada","Concluída",IF(I38="Cancelada","Cancelada",IF(L38="","Sem prazo",IF(L38&lt;TODAY(),"Prazo vencido","No prazo"))))</x:f>
        <x:v>Sem prazo</x:v>
      </x:c>
      <x:c r="V38" s="34"/>
    </x:row>
    <x:row r="39" ht="62" customHeight="1">
      <x:c r="A39" s="33" t="str">
        <x:v>AGT-05</x:v>
      </x:c>
      <x:c r="B39" s="33" t="str">
        <x:v>AR-03</x:v>
      </x:c>
      <x:c r="C39" s="33" t="str">
        <x:v>OBJ-03</x:v>
      </x:c>
      <x:c r="D39" s="33" t="str">
        <x:v>Formalizar OPS-Maestro</x:v>
      </x:c>
      <x:c r="E39" s="33" t="str">
        <x:v>Contratos cross-repo mantêm centros canônicos sem cópias divergentes.</x:v>
      </x:c>
      <x:c r="F39" s="33" t="str"/>
      <x:c r="G39" s="33" t="str">
        <x:v>Atividade</x:v>
      </x:c>
      <x:c r="H39" s="33" t="str">
        <x:v>Obrigatório</x:v>
      </x:c>
      <x:c r="I39" s="34" t="str">
        <x:v>A confirmar</x:v>
      </x:c>
      <x:c r="J39" s="34" t="str">
        <x:v>A definir</x:v>
      </x:c>
      <x:c r="K39" s="35"/>
      <x:c r="L39" s="35"/>
      <x:c r="M39" s="35"/>
      <x:c r="N39" s="33" t="str">
        <x:v>AGT-02</x:v>
      </x:c>
      <x:c r="O39" s="33" t="str"/>
      <x:c r="P39" s="33" t="str">
        <x:v>GTM-16</x:v>
      </x:c>
      <x:c r="Q39" s="33" t="str">
        <x:v>3.6;6.6</x:v>
      </x:c>
      <x:c r="R39" s="33" t="str">
        <x:v>Decomposição proposta</x:v>
      </x:c>
      <x:c r="S39" s="34"/>
      <x:c r="T39" s="33" t="str">
        <x:f>IF(I39="Concluída",IF(OR(S39="",M39=""),"Falta evidência/data","Confirmada"),"Não confirmada")</x:f>
        <x:v>Não confirmada</x:v>
      </x:c>
      <x:c r="U39" s="33" t="str">
        <x:f>IF(T39="Confirmada","Concluída",IF(I39="Cancelada","Cancelada",IF(L39="","Sem prazo",IF(L39&lt;TODAY(),"Prazo vencido","No prazo"))))</x:f>
        <x:v>Sem prazo</x:v>
      </x:c>
      <x:c r="V39" s="34"/>
    </x:row>
    <x:row r="40" ht="62" customHeight="1">
      <x:c r="A40" s="33" t="str">
        <x:v>AGT-06</x:v>
      </x:c>
      <x:c r="B40" s="33" t="str">
        <x:v>AR-03</x:v>
      </x:c>
      <x:c r="C40" s="33" t="str">
        <x:v>OBJ-03</x:v>
      </x:c>
      <x:c r="D40" s="33" t="str">
        <x:v>Definir tracing e handoffs</x:v>
      </x:c>
      <x:c r="E40" s="33" t="str">
        <x:v>Runs, idempotência, outputs tipados e evaluators descritos.</x:v>
      </x:c>
      <x:c r="F40" s="33" t="str"/>
      <x:c r="G40" s="33" t="str">
        <x:v>Atividade</x:v>
      </x:c>
      <x:c r="H40" s="33" t="str">
        <x:v>Obrigatório</x:v>
      </x:c>
      <x:c r="I40" s="34" t="str">
        <x:v>A confirmar</x:v>
      </x:c>
      <x:c r="J40" s="34" t="str">
        <x:v>A definir</x:v>
      </x:c>
      <x:c r="K40" s="35"/>
      <x:c r="L40" s="35"/>
      <x:c r="M40" s="35"/>
      <x:c r="N40" s="33" t="str">
        <x:v>AGT-05</x:v>
      </x:c>
      <x:c r="O40" s="33" t="str"/>
      <x:c r="P40" s="33" t="str">
        <x:v>GTM-02</x:v>
      </x:c>
      <x:c r="Q40" s="33" t="str">
        <x:v>4.8;13.1</x:v>
      </x:c>
      <x:c r="R40" s="33" t="str">
        <x:v>Decomposição proposta</x:v>
      </x:c>
      <x:c r="S40" s="34"/>
      <x:c r="T40" s="33" t="str">
        <x:f>IF(I40="Concluída",IF(OR(S40="",M40=""),"Falta evidência/data","Confirmada"),"Não confirmada")</x:f>
        <x:v>Não confirmada</x:v>
      </x:c>
      <x:c r="U40" s="33" t="str">
        <x:f>IF(T40="Confirmada","Concluída",IF(I40="Cancelada","Cancelada",IF(L40="","Sem prazo",IF(L40&lt;TODAY(),"Prazo vencido","No prazo"))))</x:f>
        <x:v>Sem prazo</x:v>
      </x:c>
      <x:c r="V40" s="34"/>
    </x:row>
    <x:row r="41" ht="62" customHeight="1">
      <x:c r="A41" s="33" t="str">
        <x:v>AGT-07</x:v>
      </x:c>
      <x:c r="B41" s="33" t="str">
        <x:v>AR-03</x:v>
      </x:c>
      <x:c r="C41" s="33" t="str">
        <x:v>OBJ-03</x:v>
      </x:c>
      <x:c r="D41" s="33" t="str">
        <x:v>Integrar Copiloto e Solution Store</x:v>
      </x:c>
      <x:c r="E41" s="33" t="str">
        <x:v>Intenção → contexto → solution ID → adequação → handoff → evidência demonstrados.</x:v>
      </x:c>
      <x:c r="F41" s="33" t="str"/>
      <x:c r="G41" s="33" t="str">
        <x:v>Atividade</x:v>
      </x:c>
      <x:c r="H41" s="33" t="str">
        <x:v>Obrigatório</x:v>
      </x:c>
      <x:c r="I41" s="34" t="str">
        <x:v>A confirmar</x:v>
      </x:c>
      <x:c r="J41" s="34" t="str">
        <x:v>A definir</x:v>
      </x:c>
      <x:c r="K41" s="35"/>
      <x:c r="L41" s="35"/>
      <x:c r="M41" s="35"/>
      <x:c r="N41" s="33" t="str">
        <x:v>AGT-06;STO-09</x:v>
      </x:c>
      <x:c r="O41" s="33" t="str"/>
      <x:c r="P41" s="33" t="str">
        <x:v>GTM-16</x:v>
      </x:c>
      <x:c r="Q41" s="33" t="str">
        <x:v>4.3;15.3</x:v>
      </x:c>
      <x:c r="R41" s="33" t="str">
        <x:v>Decomposição proposta</x:v>
      </x:c>
      <x:c r="S41" s="34"/>
      <x:c r="T41" s="33" t="str">
        <x:f>IF(I41="Concluída",IF(OR(S41="",M41=""),"Falta evidência/data","Confirmada"),"Não confirmada")</x:f>
        <x:v>Não confirmada</x:v>
      </x:c>
      <x:c r="U41" s="33" t="str">
        <x:f>IF(T41="Confirmada","Concluída",IF(I41="Cancelada","Cancelada",IF(L41="","Sem prazo",IF(L41&lt;TODAY(),"Prazo vencido","No prazo"))))</x:f>
        <x:v>Sem prazo</x:v>
      </x:c>
      <x:c r="V41" s="34"/>
    </x:row>
    <x:row r="42" ht="62" customHeight="1">
      <x:c r="A42" s="33" t="str">
        <x:v>STO-01</x:v>
      </x:c>
      <x:c r="B42" s="33" t="str">
        <x:v>AR-04</x:v>
      </x:c>
      <x:c r="C42" s="33" t="str">
        <x:v>OBJ-04</x:v>
      </x:c>
      <x:c r="D42" s="33" t="str">
        <x:v>Ingerir soluções candidatas</x:v>
      </x:c>
      <x:c r="E42" s="33" t="str">
        <x:v>Inventário com origem, tipo e ID de cada ferramenta ou asset.</x:v>
      </x:c>
      <x:c r="F42" s="33" t="str"/>
      <x:c r="G42" s="33" t="str">
        <x:v>Atividade</x:v>
      </x:c>
      <x:c r="H42" s="33" t="str">
        <x:v>Obrigatório</x:v>
      </x:c>
      <x:c r="I42" s="34" t="str">
        <x:v>A confirmar</x:v>
      </x:c>
      <x:c r="J42" s="34" t="str">
        <x:v>A definir</x:v>
      </x:c>
      <x:c r="K42" s="35"/>
      <x:c r="L42" s="35"/>
      <x:c r="M42" s="35"/>
      <x:c r="N42" s="33" t="str">
        <x:v>GOV-05</x:v>
      </x:c>
      <x:c r="O42" s="33" t="str"/>
      <x:c r="P42" s="33" t="str">
        <x:v>GTM-11</x:v>
      </x:c>
      <x:c r="Q42" s="33" t="str">
        <x:v>2.5</x:v>
      </x:c>
      <x:c r="R42" s="33" t="str">
        <x:v>Decomposição proposta</x:v>
      </x:c>
      <x:c r="S42" s="34"/>
      <x:c r="T42" s="33" t="str">
        <x:f>IF(I42="Concluída",IF(OR(S42="",M42=""),"Falta evidência/data","Confirmada"),"Não confirmada")</x:f>
        <x:v>Não confirmada</x:v>
      </x:c>
      <x:c r="U42" s="33" t="str">
        <x:f>IF(T42="Confirmada","Concluída",IF(I42="Cancelada","Cancelada",IF(L42="","Sem prazo",IF(L42&lt;TODAY(),"Prazo vencido","No prazo"))))</x:f>
        <x:v>Sem prazo</x:v>
      </x:c>
      <x:c r="V42" s="34"/>
    </x:row>
    <x:row r="43" ht="62" customHeight="1">
      <x:c r="A43" s="33" t="str">
        <x:v>STO-02</x:v>
      </x:c>
      <x:c r="B43" s="33" t="str">
        <x:v>AR-04</x:v>
      </x:c>
      <x:c r="C43" s="33" t="str">
        <x:v>OBJ-04</x:v>
      </x:c>
      <x:c r="D43" s="33" t="str">
        <x:v>Classificar soluções</x:v>
      </x:c>
      <x:c r="E43" s="33" t="str">
        <x:v>Problema, público, uso e categoria definidos.</x:v>
      </x:c>
      <x:c r="F43" s="33" t="str"/>
      <x:c r="G43" s="33" t="str">
        <x:v>Atividade</x:v>
      </x:c>
      <x:c r="H43" s="33" t="str">
        <x:v>Obrigatório</x:v>
      </x:c>
      <x:c r="I43" s="34" t="str">
        <x:v>A confirmar</x:v>
      </x:c>
      <x:c r="J43" s="34" t="str">
        <x:v>A definir</x:v>
      </x:c>
      <x:c r="K43" s="35"/>
      <x:c r="L43" s="35"/>
      <x:c r="M43" s="35"/>
      <x:c r="N43" s="33" t="str">
        <x:v>STO-01</x:v>
      </x:c>
      <x:c r="O43" s="33" t="str"/>
      <x:c r="P43" s="33" t="str">
        <x:v>GTM-11</x:v>
      </x:c>
      <x:c r="Q43" s="33" t="str">
        <x:v>4.1</x:v>
      </x:c>
      <x:c r="R43" s="33" t="str">
        <x:v>Decomposição proposta</x:v>
      </x:c>
      <x:c r="S43" s="34"/>
      <x:c r="T43" s="33" t="str">
        <x:f>IF(I43="Concluída",IF(OR(S43="",M43=""),"Falta evidência/data","Confirmada"),"Não confirmada")</x:f>
        <x:v>Não confirmada</x:v>
      </x:c>
      <x:c r="U43" s="33" t="str">
        <x:f>IF(T43="Confirmada","Concluída",IF(I43="Cancelada","Cancelada",IF(L43="","Sem prazo",IF(L43&lt;TODAY(),"Prazo vencido","No prazo"))))</x:f>
        <x:v>Sem prazo</x:v>
      </x:c>
      <x:c r="V43" s="34"/>
    </x:row>
    <x:row r="44" ht="62" customHeight="1">
      <x:c r="A44" s="33" t="str">
        <x:v>STO-03</x:v>
      </x:c>
      <x:c r="B44" s="33" t="str">
        <x:v>AR-04</x:v>
      </x:c>
      <x:c r="C44" s="33" t="str">
        <x:v>OBJ-04</x:v>
      </x:c>
      <x:c r="D44" s="33" t="str">
        <x:v>Aplicar profile SOLUTION</x:v>
      </x:c>
      <x:c r="E44" s="33" t="str">
        <x:v>Schema comum, casos de uso, três anti-use cases e gates preenchidos.</x:v>
      </x:c>
      <x:c r="F44" s="33" t="str"/>
      <x:c r="G44" s="33" t="str">
        <x:v>Atividade</x:v>
      </x:c>
      <x:c r="H44" s="33" t="str">
        <x:v>Obrigatório</x:v>
      </x:c>
      <x:c r="I44" s="34" t="str">
        <x:v>A confirmar</x:v>
      </x:c>
      <x:c r="J44" s="34" t="str">
        <x:v>A definir</x:v>
      </x:c>
      <x:c r="K44" s="35"/>
      <x:c r="L44" s="35"/>
      <x:c r="M44" s="35"/>
      <x:c r="N44" s="33" t="str">
        <x:v>STO-02;SCH-07</x:v>
      </x:c>
      <x:c r="O44" s="33" t="str"/>
      <x:c r="P44" s="33" t="str">
        <x:v>GTM-09;GTM-11</x:v>
      </x:c>
      <x:c r="Q44" s="33" t="str">
        <x:v>4.1</x:v>
      </x:c>
      <x:c r="R44" s="33" t="str">
        <x:v>Decomposição proposta</x:v>
      </x:c>
      <x:c r="S44" s="34"/>
      <x:c r="T44" s="33" t="str">
        <x:f>IF(I44="Concluída",IF(OR(S44="",M44=""),"Falta evidência/data","Confirmada"),"Não confirmada")</x:f>
        <x:v>Não confirmada</x:v>
      </x:c>
      <x:c r="U44" s="33" t="str">
        <x:f>IF(T44="Confirmada","Concluída",IF(I44="Cancelada","Cancelada",IF(L44="","Sem prazo",IF(L44&lt;TODAY(),"Prazo vencido","No prazo"))))</x:f>
        <x:v>Sem prazo</x:v>
      </x:c>
      <x:c r="V44" s="34"/>
    </x:row>
    <x:row r="45" ht="62" customHeight="1">
      <x:c r="A45" s="33" t="str">
        <x:v>STO-04</x:v>
      </x:c>
      <x:c r="B45" s="33" t="str">
        <x:v>AR-04</x:v>
      </x:c>
      <x:c r="C45" s="33" t="str">
        <x:v>OBJ-04</x:v>
      </x:c>
      <x:c r="D45" s="33" t="str">
        <x:v>Montar bundles</x:v>
      </x:c>
      <x:c r="E45" s="33" t="str">
        <x:v>Artefato utilizável e metadados associados ao ID canônico.</x:v>
      </x:c>
      <x:c r="F45" s="33" t="str"/>
      <x:c r="G45" s="33" t="str">
        <x:v>Atividade</x:v>
      </x:c>
      <x:c r="H45" s="33" t="str">
        <x:v>Obrigatório</x:v>
      </x:c>
      <x:c r="I45" s="34" t="str">
        <x:v>A confirmar</x:v>
      </x:c>
      <x:c r="J45" s="34" t="str">
        <x:v>A definir</x:v>
      </x:c>
      <x:c r="K45" s="35"/>
      <x:c r="L45" s="35"/>
      <x:c r="M45" s="35"/>
      <x:c r="N45" s="33" t="str">
        <x:v>STO-03</x:v>
      </x:c>
      <x:c r="O45" s="33" t="str"/>
      <x:c r="P45" s="33" t="str">
        <x:v>GTM-11</x:v>
      </x:c>
      <x:c r="Q45" s="33" t="str">
        <x:v>2.6</x:v>
      </x:c>
      <x:c r="R45" s="33" t="str">
        <x:v>Decomposição proposta</x:v>
      </x:c>
      <x:c r="S45" s="34"/>
      <x:c r="T45" s="33" t="str">
        <x:f>IF(I45="Concluída",IF(OR(S45="",M45=""),"Falta evidência/data","Confirmada"),"Não confirmada")</x:f>
        <x:v>Não confirmada</x:v>
      </x:c>
      <x:c r="U45" s="33" t="str">
        <x:f>IF(T45="Confirmada","Concluída",IF(I45="Cancelada","Cancelada",IF(L45="","Sem prazo",IF(L45&lt;TODAY(),"Prazo vencido","No prazo"))))</x:f>
        <x:v>Sem prazo</x:v>
      </x:c>
      <x:c r="V45" s="34"/>
    </x:row>
    <x:row r="46" ht="62" customHeight="1">
      <x:c r="A46" s="33" t="str">
        <x:v>STO-05</x:v>
      </x:c>
      <x:c r="B46" s="33" t="str">
        <x:v>AR-04</x:v>
      </x:c>
      <x:c r="C46" s="33" t="str">
        <x:v>OBJ-04</x:v>
      </x:c>
      <x:c r="D46" s="33" t="str">
        <x:v>Preparar apresentação editorial da Store</x:v>
      </x:c>
      <x:c r="E46" s="33" t="str">
        <x:v>Descrição de problema, benefício e instrução de uso revisadas.</x:v>
      </x:c>
      <x:c r="F46" s="33" t="str"/>
      <x:c r="G46" s="33" t="str">
        <x:v>Atividade</x:v>
      </x:c>
      <x:c r="H46" s="33" t="str">
        <x:v>Obrigatório</x:v>
      </x:c>
      <x:c r="I46" s="34" t="str">
        <x:v>A confirmar</x:v>
      </x:c>
      <x:c r="J46" s="34" t="str">
        <x:v>A definir</x:v>
      </x:c>
      <x:c r="K46" s="35"/>
      <x:c r="L46" s="35"/>
      <x:c r="M46" s="35"/>
      <x:c r="N46" s="33" t="str">
        <x:v>STO-04</x:v>
      </x:c>
      <x:c r="O46" s="33" t="str"/>
      <x:c r="P46" s="33" t="str">
        <x:v>GTM-11</x:v>
      </x:c>
      <x:c r="Q46" s="33" t="str">
        <x:v>2.5</x:v>
      </x:c>
      <x:c r="R46" s="33" t="str">
        <x:v>Decomposição proposta</x:v>
      </x:c>
      <x:c r="S46" s="34"/>
      <x:c r="T46" s="33" t="str">
        <x:f>IF(I46="Concluída",IF(OR(S46="",M46=""),"Falta evidência/data","Confirmada"),"Não confirmada")</x:f>
        <x:v>Não confirmada</x:v>
      </x:c>
      <x:c r="U46" s="33" t="str">
        <x:f>IF(T46="Confirmada","Concluída",IF(I46="Cancelada","Cancelada",IF(L46="","Sem prazo",IF(L46&lt;TODAY(),"Prazo vencido","No prazo"))))</x:f>
        <x:v>Sem prazo</x:v>
      </x:c>
      <x:c r="V46" s="34"/>
    </x:row>
    <x:row r="47" ht="62" customHeight="1">
      <x:c r="A47" s="33" t="str">
        <x:v>STO-06</x:v>
      </x:c>
      <x:c r="B47" s="33" t="str">
        <x:v>AR-04</x:v>
      </x:c>
      <x:c r="C47" s="33" t="str">
        <x:v>OBJ-04</x:v>
      </x:c>
      <x:c r="D47" s="33" t="str">
        <x:v>Gerar derivados e CTAs da solução</x:v>
      </x:c>
      <x:c r="E47" s="33" t="str">
        <x:v>Artigo, publicação ou QF aponta para a solução por ID.</x:v>
      </x:c>
      <x:c r="F47" s="33" t="str"/>
      <x:c r="G47" s="33" t="str">
        <x:v>Atividade</x:v>
      </x:c>
      <x:c r="H47" s="33" t="str">
        <x:v>Obrigatório</x:v>
      </x:c>
      <x:c r="I47" s="34" t="str">
        <x:v>A confirmar</x:v>
      </x:c>
      <x:c r="J47" s="34" t="str">
        <x:v>A definir</x:v>
      </x:c>
      <x:c r="K47" s="35"/>
      <x:c r="L47" s="35"/>
      <x:c r="M47" s="35"/>
      <x:c r="N47" s="33" t="str">
        <x:v>STO-05</x:v>
      </x:c>
      <x:c r="O47" s="33" t="str"/>
      <x:c r="P47" s="33" t="str">
        <x:v>GTM-08;GTM-11</x:v>
      </x:c>
      <x:c r="Q47" s="33" t="str">
        <x:v>2.9</x:v>
      </x:c>
      <x:c r="R47" s="33" t="str">
        <x:v>Decomposição proposta</x:v>
      </x:c>
      <x:c r="S47" s="34"/>
      <x:c r="T47" s="33" t="str">
        <x:f>IF(I47="Concluída",IF(OR(S47="",M47=""),"Falta evidência/data","Confirmada"),"Não confirmada")</x:f>
        <x:v>Não confirmada</x:v>
      </x:c>
      <x:c r="U47" s="33" t="str">
        <x:f>IF(T47="Confirmada","Concluída",IF(I47="Cancelada","Cancelada",IF(L47="","Sem prazo",IF(L47&lt;TODAY(),"Prazo vencido","No prazo"))))</x:f>
        <x:v>Sem prazo</x:v>
      </x:c>
      <x:c r="V47" s="34"/>
    </x:row>
    <x:row r="48" ht="62" customHeight="1">
      <x:c r="A48" s="33" t="str">
        <x:v>STO-07</x:v>
      </x:c>
      <x:c r="B48" s="33" t="str">
        <x:v>AR-04</x:v>
      </x:c>
      <x:c r="C48" s="33" t="str">
        <x:v>OBJ-04</x:v>
      </x:c>
      <x:c r="D48" s="33" t="str">
        <x:v>Executar QA de soluções</x:v>
      </x:c>
      <x:c r="E48" s="33" t="str">
        <x:v>Assets abrem, instruções funcionam e evidências são rastreáveis.</x:v>
      </x:c>
      <x:c r="F48" s="33" t="str"/>
      <x:c r="G48" s="33" t="str">
        <x:v>Atividade</x:v>
      </x:c>
      <x:c r="H48" s="33" t="str">
        <x:v>Obrigatório</x:v>
      </x:c>
      <x:c r="I48" s="34" t="str">
        <x:v>A confirmar</x:v>
      </x:c>
      <x:c r="J48" s="34" t="str">
        <x:v>A definir</x:v>
      </x:c>
      <x:c r="K48" s="35"/>
      <x:c r="L48" s="35"/>
      <x:c r="M48" s="35"/>
      <x:c r="N48" s="33" t="str">
        <x:v>STO-06</x:v>
      </x:c>
      <x:c r="O48" s="33" t="str"/>
      <x:c r="P48" s="33" t="str">
        <x:v>GTM-11</x:v>
      </x:c>
      <x:c r="Q48" s="33" t="str">
        <x:v>2.6</x:v>
      </x:c>
      <x:c r="R48" s="33" t="str">
        <x:v>Decomposição proposta</x:v>
      </x:c>
      <x:c r="S48" s="34"/>
      <x:c r="T48" s="33" t="str">
        <x:f>IF(I48="Concluída",IF(OR(S48="",M48=""),"Falta evidência/data","Confirmada"),"Não confirmada")</x:f>
        <x:v>Não confirmada</x:v>
      </x:c>
      <x:c r="U48" s="33" t="str">
        <x:f>IF(T48="Confirmada","Concluída",IF(I48="Cancelada","Cancelada",IF(L48="","Sem prazo",IF(L48&lt;TODAY(),"Prazo vencido","No prazo"))))</x:f>
        <x:v>Sem prazo</x:v>
      </x:c>
      <x:c r="V48" s="34"/>
    </x:row>
    <x:row r="49" ht="62" customHeight="1">
      <x:c r="A49" s="33" t="str">
        <x:v>STO-08</x:v>
      </x:c>
      <x:c r="B49" s="33" t="str">
        <x:v>AR-04</x:v>
      </x:c>
      <x:c r="C49" s="33" t="str">
        <x:v>OBJ-04</x:v>
      </x:c>
      <x:c r="D49" s="33" t="str">
        <x:v>Preparar Store Submission</x:v>
      </x:c>
      <x:c r="E49" s="33" t="str">
        <x:v>Pacote validado submetido ao gate editorial.</x:v>
      </x:c>
      <x:c r="F49" s="33" t="str"/>
      <x:c r="G49" s="33" t="str">
        <x:v>Atividade</x:v>
      </x:c>
      <x:c r="H49" s="33" t="str">
        <x:v>Obrigatório</x:v>
      </x:c>
      <x:c r="I49" s="34" t="str">
        <x:v>A confirmar</x:v>
      </x:c>
      <x:c r="J49" s="34" t="str">
        <x:v>A definir</x:v>
      </x:c>
      <x:c r="K49" s="35"/>
      <x:c r="L49" s="35"/>
      <x:c r="M49" s="35"/>
      <x:c r="N49" s="33" t="str">
        <x:v>STO-07</x:v>
      </x:c>
      <x:c r="O49" s="33" t="str"/>
      <x:c r="P49" s="33" t="str">
        <x:v>GTM-11</x:v>
      </x:c>
      <x:c r="Q49" s="33" t="str">
        <x:v>6.2</x:v>
      </x:c>
      <x:c r="R49" s="33" t="str">
        <x:v>Decomposição proposta</x:v>
      </x:c>
      <x:c r="S49" s="34"/>
      <x:c r="T49" s="33" t="str">
        <x:f>IF(I49="Concluída",IF(OR(S49="",M49=""),"Falta evidência/data","Confirmada"),"Não confirmada")</x:f>
        <x:v>Não confirmada</x:v>
      </x:c>
      <x:c r="U49" s="33" t="str">
        <x:f>IF(T49="Confirmada","Concluída",IF(I49="Cancelada","Cancelada",IF(L49="","Sem prazo",IF(L49&lt;TODAY(),"Prazo vencido","No prazo"))))</x:f>
        <x:v>Sem prazo</x:v>
      </x:c>
      <x:c r="V49" s="34"/>
    </x:row>
    <x:row r="50" ht="62" customHeight="1">
      <x:c r="A50" s="33" t="str">
        <x:v>STO-09</x:v>
      </x:c>
      <x:c r="B50" s="33" t="str">
        <x:v>AR-04</x:v>
      </x:c>
      <x:c r="C50" s="33" t="str">
        <x:v>OBJ-04</x:v>
      </x:c>
      <x:c r="D50" s="33" t="str">
        <x:v>Publicar catálogo aprovado</x:v>
      </x:c>
      <x:c r="E50" s="33" t="str">
        <x:v>Soluções aprovadas acessíveis e links registrados.</x:v>
      </x:c>
      <x:c r="F50" s="33" t="str"/>
      <x:c r="G50" s="33" t="str">
        <x:v>Atividade</x:v>
      </x:c>
      <x:c r="H50" s="33" t="str">
        <x:v>Obrigatório</x:v>
      </x:c>
      <x:c r="I50" s="34" t="str">
        <x:v>A confirmar</x:v>
      </x:c>
      <x:c r="J50" s="34" t="str">
        <x:v>A definir</x:v>
      </x:c>
      <x:c r="K50" s="35"/>
      <x:c r="L50" s="35"/>
      <x:c r="M50" s="35"/>
      <x:c r="N50" s="33" t="str">
        <x:v>STO-08;BLOG-05</x:v>
      </x:c>
      <x:c r="O50" s="33" t="str"/>
      <x:c r="P50" s="33" t="str">
        <x:v>GTM-11</x:v>
      </x:c>
      <x:c r="Q50" s="33" t="str">
        <x:v>2.5</x:v>
      </x:c>
      <x:c r="R50" s="33" t="str">
        <x:v>Decomposição proposta</x:v>
      </x:c>
      <x:c r="S50" s="34"/>
      <x:c r="T50" s="33" t="str">
        <x:f>IF(I50="Concluída",IF(OR(S50="",M50=""),"Falta evidência/data","Confirmada"),"Não confirmada")</x:f>
        <x:v>Não confirmada</x:v>
      </x:c>
      <x:c r="U50" s="33" t="str">
        <x:f>IF(T50="Confirmada","Concluída",IF(I50="Cancelada","Cancelada",IF(L50="","Sem prazo",IF(L50&lt;TODAY(),"Prazo vencido","No prazo"))))</x:f>
        <x:v>Sem prazo</x:v>
      </x:c>
      <x:c r="V50" s="34"/>
    </x:row>
    <x:row r="51" ht="62" customHeight="1">
      <x:c r="A51" s="33" t="str">
        <x:v>MAP-01</x:v>
      </x:c>
      <x:c r="B51" s="33" t="str">
        <x:v>AR-05</x:v>
      </x:c>
      <x:c r="C51" s="33" t="str">
        <x:v>OBJ-05</x:v>
      </x:c>
      <x:c r="D51" s="33" t="str">
        <x:v>Delimitar produto Mapa Cognitivo</x:v>
      </x:c>
      <x:c r="E51" s="33" t="str">
        <x:v>Escopo distingue projeção relacional, MapaOS e BLOG-09.</x:v>
      </x:c>
      <x:c r="F51" s="33" t="str"/>
      <x:c r="G51" s="33" t="str">
        <x:v>Atividade</x:v>
      </x:c>
      <x:c r="H51" s="33" t="str">
        <x:v>Obrigatório</x:v>
      </x:c>
      <x:c r="I51" s="34" t="str">
        <x:v>A confirmar</x:v>
      </x:c>
      <x:c r="J51" s="34" t="str">
        <x:v>A definir</x:v>
      </x:c>
      <x:c r="K51" s="35"/>
      <x:c r="L51" s="35"/>
      <x:c r="M51" s="35"/>
      <x:c r="N51" s="33" t="str">
        <x:v>GOV-01</x:v>
      </x:c>
      <x:c r="O51" s="33" t="str"/>
      <x:c r="P51" s="33" t="str">
        <x:v>GTM-12</x:v>
      </x:c>
      <x:c r="Q51" s="33" t="str">
        <x:v>2.5</x:v>
      </x:c>
      <x:c r="R51" s="33" t="str">
        <x:v>Decomposição proposta</x:v>
      </x:c>
      <x:c r="S51" s="34"/>
      <x:c r="T51" s="33" t="str">
        <x:f>IF(I51="Concluída",IF(OR(S51="",M51=""),"Falta evidência/data","Confirmada"),"Não confirmada")</x:f>
        <x:v>Não confirmada</x:v>
      </x:c>
      <x:c r="U51" s="33" t="str">
        <x:f>IF(T51="Confirmada","Concluída",IF(I51="Cancelada","Cancelada",IF(L51="","Sem prazo",IF(L51&lt;TODAY(),"Prazo vencido","No prazo"))))</x:f>
        <x:v>Sem prazo</x:v>
      </x:c>
      <x:c r="V51" s="34"/>
    </x:row>
    <x:row r="52" ht="62" customHeight="1">
      <x:c r="A52" s="33" t="str">
        <x:v>MAP-02</x:v>
      </x:c>
      <x:c r="B52" s="33" t="str">
        <x:v>AR-05</x:v>
      </x:c>
      <x:c r="C52" s="33" t="str">
        <x:v>OBJ-05</x:v>
      </x:c>
      <x:c r="D52" s="33" t="str">
        <x:v>Projetar object_registry e relation_edge</x:v>
      </x:c>
      <x:c r="E52" s="33" t="str">
        <x:v>Nós tipados e relações ligam problema, conceito, evidência e solução.</x:v>
      </x:c>
      <x:c r="F52" s="33" t="str"/>
      <x:c r="G52" s="33" t="str">
        <x:v>Atividade</x:v>
      </x:c>
      <x:c r="H52" s="33" t="str">
        <x:v>Obrigatório</x:v>
      </x:c>
      <x:c r="I52" s="34" t="str">
        <x:v>A confirmar</x:v>
      </x:c>
      <x:c r="J52" s="34" t="str">
        <x:v>A definir</x:v>
      </x:c>
      <x:c r="K52" s="35"/>
      <x:c r="L52" s="35"/>
      <x:c r="M52" s="35"/>
      <x:c r="N52" s="33" t="str">
        <x:v>MAP-01;SCH-07</x:v>
      </x:c>
      <x:c r="O52" s="33" t="str"/>
      <x:c r="P52" s="33" t="str">
        <x:v>GTM-09;GTM-12</x:v>
      </x:c>
      <x:c r="Q52" s="33" t="str">
        <x:v>4.1</x:v>
      </x:c>
      <x:c r="R52" s="33" t="str">
        <x:v>Decomposição proposta</x:v>
      </x:c>
      <x:c r="S52" s="34"/>
      <x:c r="T52" s="33" t="str">
        <x:f>IF(I52="Concluída",IF(OR(S52="",M52=""),"Falta evidência/data","Confirmada"),"Não confirmada")</x:f>
        <x:v>Não confirmada</x:v>
      </x:c>
      <x:c r="U52" s="33" t="str">
        <x:f>IF(T52="Confirmada","Concluída",IF(I52="Cancelada","Cancelada",IF(L52="","Sem prazo",IF(L52&lt;TODAY(),"Prazo vencido","No prazo"))))</x:f>
        <x:v>Sem prazo</x:v>
      </x:c>
      <x:c r="V52" s="34"/>
    </x:row>
    <x:row r="53" ht="62" customHeight="1">
      <x:c r="A53" s="33" t="str">
        <x:v>MAP-03</x:v>
      </x:c>
      <x:c r="B53" s="33" t="str">
        <x:v>AR-05</x:v>
      </x:c>
      <x:c r="C53" s="33" t="str">
        <x:v>OBJ-05</x:v>
      </x:c>
      <x:c r="D53" s="33" t="str">
        <x:v>Criar filtro por problema</x:v>
      </x:c>
      <x:c r="E53" s="33" t="str">
        <x:v>Interface apresenta artigos e soluções da área selecionada.</x:v>
      </x:c>
      <x:c r="F53" s="33" t="str"/>
      <x:c r="G53" s="33" t="str">
        <x:v>Atividade</x:v>
      </x:c>
      <x:c r="H53" s="33" t="str">
        <x:v>Obrigatório</x:v>
      </x:c>
      <x:c r="I53" s="34" t="str">
        <x:v>A confirmar</x:v>
      </x:c>
      <x:c r="J53" s="34" t="str">
        <x:v>A definir</x:v>
      </x:c>
      <x:c r="K53" s="35"/>
      <x:c r="L53" s="35"/>
      <x:c r="M53" s="35"/>
      <x:c r="N53" s="33" t="str">
        <x:v>MAP-02;BLOG-04</x:v>
      </x:c>
      <x:c r="O53" s="33" t="str"/>
      <x:c r="P53" s="33" t="str">
        <x:v>GTM-08</x:v>
      </x:c>
      <x:c r="Q53" s="33" t="str">
        <x:v>2.12</x:v>
      </x:c>
      <x:c r="R53" s="33" t="str">
        <x:v>Decomposição proposta</x:v>
      </x:c>
      <x:c r="S53" s="34"/>
      <x:c r="T53" s="33" t="str">
        <x:f>IF(I53="Concluída",IF(OR(S53="",M53=""),"Falta evidência/data","Confirmada"),"Não confirmada")</x:f>
        <x:v>Não confirmada</x:v>
      </x:c>
      <x:c r="U53" s="33" t="str">
        <x:f>IF(T53="Confirmada","Concluída",IF(I53="Cancelada","Cancelada",IF(L53="","Sem prazo",IF(L53&lt;TODAY(),"Prazo vencido","No prazo"))))</x:f>
        <x:v>Sem prazo</x:v>
      </x:c>
      <x:c r="V53" s="34"/>
    </x:row>
    <x:row r="54" ht="62" customHeight="1">
      <x:c r="A54" s="33" t="str">
        <x:v>MAP-04</x:v>
      </x:c>
      <x:c r="B54" s="33" t="str">
        <x:v>AR-05</x:v>
      </x:c>
      <x:c r="C54" s="33" t="str">
        <x:v>OBJ-05</x:v>
      </x:c>
      <x:c r="D54" s="33" t="str">
        <x:v>Integrar deep links</x:v>
      </x:c>
      <x:c r="E54" s="33" t="str">
        <x:v>Navegação abre fontes e objetos canônicos sem duplicação.</x:v>
      </x:c>
      <x:c r="F54" s="33" t="str"/>
      <x:c r="G54" s="33" t="str">
        <x:v>Atividade</x:v>
      </x:c>
      <x:c r="H54" s="33" t="str">
        <x:v>Obrigatório</x:v>
      </x:c>
      <x:c r="I54" s="34" t="str">
        <x:v>A confirmar</x:v>
      </x:c>
      <x:c r="J54" s="34" t="str">
        <x:v>A definir</x:v>
      </x:c>
      <x:c r="K54" s="35"/>
      <x:c r="L54" s="35"/>
      <x:c r="M54" s="35"/>
      <x:c r="N54" s="33" t="str">
        <x:v>MAP-03;STO-09</x:v>
      </x:c>
      <x:c r="O54" s="33" t="str"/>
      <x:c r="P54" s="33" t="str">
        <x:v>GTM-12</x:v>
      </x:c>
      <x:c r="Q54" s="33" t="str">
        <x:v>3.7</x:v>
      </x:c>
      <x:c r="R54" s="33" t="str">
        <x:v>Decomposição proposta</x:v>
      </x:c>
      <x:c r="S54" s="34"/>
      <x:c r="T54" s="33" t="str">
        <x:f>IF(I54="Concluída",IF(OR(S54="",M54=""),"Falta evidência/data","Confirmada"),"Não confirmada")</x:f>
        <x:v>Não confirmada</x:v>
      </x:c>
      <x:c r="U54" s="33" t="str">
        <x:f>IF(T54="Confirmada","Concluída",IF(I54="Cancelada","Cancelada",IF(L54="","Sem prazo",IF(L54&lt;TODAY(),"Prazo vencido","No prazo"))))</x:f>
        <x:v>Sem prazo</x:v>
      </x:c>
      <x:c r="V54" s="34"/>
    </x:row>
    <x:row r="55" ht="62" customHeight="1">
      <x:c r="A55" s="33" t="str">
        <x:v>MAP-05</x:v>
      </x:c>
      <x:c r="B55" s="33" t="str">
        <x:v>AR-05</x:v>
      </x:c>
      <x:c r="C55" s="33" t="str">
        <x:v>OBJ-05</x:v>
      </x:c>
      <x:c r="D55" s="33" t="str">
        <x:v>Observar navegação e recalibrar relações</x:v>
      </x:c>
      <x:c r="E55" s="33" t="str">
        <x:v>Teste de problema até solução gera registro de aprendizado.</x:v>
      </x:c>
      <x:c r="F55" s="33" t="str"/>
      <x:c r="G55" s="33" t="str">
        <x:v>Atividade</x:v>
      </x:c>
      <x:c r="H55" s="33" t="str">
        <x:v>Obrigatório</x:v>
      </x:c>
      <x:c r="I55" s="34" t="str">
        <x:v>A confirmar</x:v>
      </x:c>
      <x:c r="J55" s="34" t="str">
        <x:v>A definir</x:v>
      </x:c>
      <x:c r="K55" s="35"/>
      <x:c r="L55" s="35"/>
      <x:c r="M55" s="35"/>
      <x:c r="N55" s="33" t="str">
        <x:v>MAP-04;DST-06</x:v>
      </x:c>
      <x:c r="O55" s="33" t="str"/>
      <x:c r="P55" s="33" t="str">
        <x:v>GTM-12</x:v>
      </x:c>
      <x:c r="Q55" s="33" t="str">
        <x:v>2.6</x:v>
      </x:c>
      <x:c r="R55" s="33" t="str">
        <x:v>Decomposição proposta</x:v>
      </x:c>
      <x:c r="S55" s="34"/>
      <x:c r="T55" s="33" t="str">
        <x:f>IF(I55="Concluída",IF(OR(S55="",M55=""),"Falta evidência/data","Confirmada"),"Não confirmada")</x:f>
        <x:v>Não confirmada</x:v>
      </x:c>
      <x:c r="U55" s="33" t="str">
        <x:f>IF(T55="Confirmada","Concluída",IF(I55="Cancelada","Cancelada",IF(L55="","Sem prazo",IF(L55&lt;TODAY(),"Prazo vencido","No prazo"))))</x:f>
        <x:v>Sem prazo</x:v>
      </x:c>
      <x:c r="V55" s="34"/>
    </x:row>
    <x:row r="56" ht="62" customHeight="1">
      <x:c r="A56" s="33" t="str">
        <x:v>QF-01</x:v>
      </x:c>
      <x:c r="B56" s="33" t="str">
        <x:v>AR-07</x:v>
      </x:c>
      <x:c r="C56" s="33" t="str">
        <x:v>OBJ-07</x:v>
      </x:c>
      <x:c r="D56" s="33" t="str">
        <x:v>Obter lista dos oito candidatos</x:v>
      </x:c>
      <x:c r="E56" s="33" t="str">
        <x:v>Oito candidatos identificados por ID e fonte; publicação não presumida.</x:v>
      </x:c>
      <x:c r="F56" s="33" t="str"/>
      <x:c r="G56" s="33" t="str">
        <x:v>Atividade</x:v>
      </x:c>
      <x:c r="H56" s="33" t="str">
        <x:v>Obrigatório</x:v>
      </x:c>
      <x:c r="I56" s="34" t="str">
        <x:v>A confirmar</x:v>
      </x:c>
      <x:c r="J56" s="34" t="str">
        <x:v>A definir</x:v>
      </x:c>
      <x:c r="K56" s="35"/>
      <x:c r="L56" s="35"/>
      <x:c r="M56" s="35"/>
      <x:c r="N56" s="33" t="str">
        <x:v>GOV-05</x:v>
      </x:c>
      <x:c r="O56" s="33" t="str">
        <x:v>DEC-09</x:v>
      </x:c>
      <x:c r="P56" s="33" t="str">
        <x:v>GTM-14</x:v>
      </x:c>
      <x:c r="Q56" s="33" t="str">
        <x:v>14.2;17.3</x:v>
      </x:c>
      <x:c r="R56" s="33" t="str">
        <x:v>Decomposição proposta</x:v>
      </x:c>
      <x:c r="S56" s="34"/>
      <x:c r="T56" s="33" t="str">
        <x:f>IF(I56="Concluída",IF(OR(S56="",M56=""),"Falta evidência/data","Confirmada"),"Não confirmada")</x:f>
        <x:v>Não confirmada</x:v>
      </x:c>
      <x:c r="U56" s="33" t="str">
        <x:f>IF(T56="Confirmada","Concluída",IF(I56="Cancelada","Cancelada",IF(L56="","Sem prazo",IF(L56&lt;TODAY(),"Prazo vencido","No prazo"))))</x:f>
        <x:v>Sem prazo</x:v>
      </x:c>
      <x:c r="V56" s="34"/>
    </x:row>
    <x:row r="57" ht="62" customHeight="1">
      <x:c r="A57" s="33" t="str">
        <x:v>QF-02</x:v>
      </x:c>
      <x:c r="B57" s="33" t="str">
        <x:v>AR-07</x:v>
      </x:c>
      <x:c r="C57" s="33" t="str">
        <x:v>OBJ-07</x:v>
      </x:c>
      <x:c r="D57" s="33" t="str">
        <x:v>Priorizar candidatos</x:v>
      </x:c>
      <x:c r="E57" s="33" t="str">
        <x:v>P0–P3 aplicados por autonomia, relevância, evidência e utilidade.</x:v>
      </x:c>
      <x:c r="F57" s="33" t="str"/>
      <x:c r="G57" s="33" t="str">
        <x:v>Atividade</x:v>
      </x:c>
      <x:c r="H57" s="33" t="str">
        <x:v>Obrigatório</x:v>
      </x:c>
      <x:c r="I57" s="34" t="str">
        <x:v>A confirmar</x:v>
      </x:c>
      <x:c r="J57" s="34" t="str">
        <x:v>A definir</x:v>
      </x:c>
      <x:c r="K57" s="35"/>
      <x:c r="L57" s="35"/>
      <x:c r="M57" s="35"/>
      <x:c r="N57" s="33" t="str">
        <x:v>QF-01</x:v>
      </x:c>
      <x:c r="O57" s="33" t="str"/>
      <x:c r="P57" s="33" t="str">
        <x:v>GTM-14</x:v>
      </x:c>
      <x:c r="Q57" s="33" t="str">
        <x:v>11.4</x:v>
      </x:c>
      <x:c r="R57" s="33" t="str">
        <x:v>Decomposição proposta</x:v>
      </x:c>
      <x:c r="S57" s="34"/>
      <x:c r="T57" s="33" t="str">
        <x:f>IF(I57="Concluída",IF(OR(S57="",M57=""),"Falta evidência/data","Confirmada"),"Não confirmada")</x:f>
        <x:v>Não confirmada</x:v>
      </x:c>
      <x:c r="U57" s="33" t="str">
        <x:f>IF(T57="Confirmada","Concluída",IF(I57="Cancelada","Cancelada",IF(L57="","Sem prazo",IF(L57&lt;TODAY(),"Prazo vencido","No prazo"))))</x:f>
        <x:v>Sem prazo</x:v>
      </x:c>
      <x:c r="V57" s="34"/>
    </x:row>
    <x:row r="58" ht="62" customHeight="1">
      <x:c r="A58" s="33" t="str">
        <x:v>QF-03</x:v>
      </x:c>
      <x:c r="B58" s="33" t="str">
        <x:v>AR-07</x:v>
      </x:c>
      <x:c r="C58" s="33" t="str">
        <x:v>OBJ-07</x:v>
      </x:c>
      <x:c r="D58" s="33" t="str">
        <x:v>Definir template canônico de QF</x:v>
      </x:c>
      <x:c r="E58" s="33" t="str">
        <x:v>Resumo, 5W2H, problema/processo/progresso, tabela, infográfico e ferramenta.</x:v>
      </x:c>
      <x:c r="F58" s="33" t="str"/>
      <x:c r="G58" s="33" t="str">
        <x:v>Atividade</x:v>
      </x:c>
      <x:c r="H58" s="33" t="str">
        <x:v>Obrigatório</x:v>
      </x:c>
      <x:c r="I58" s="34" t="str">
        <x:v>A confirmar</x:v>
      </x:c>
      <x:c r="J58" s="34" t="str">
        <x:v>A definir</x:v>
      </x:c>
      <x:c r="K58" s="35"/>
      <x:c r="L58" s="35"/>
      <x:c r="M58" s="35"/>
      <x:c r="N58" s="33" t="str">
        <x:v>QF-02;SCH-06</x:v>
      </x:c>
      <x:c r="O58" s="33" t="str"/>
      <x:c r="P58" s="33" t="str">
        <x:v>GTM-14</x:v>
      </x:c>
      <x:c r="Q58" s="33" t="str">
        <x:v>4.7</x:v>
      </x:c>
      <x:c r="R58" s="33" t="str">
        <x:v>Decomposição proposta</x:v>
      </x:c>
      <x:c r="S58" s="34"/>
      <x:c r="T58" s="33" t="str">
        <x:f>IF(I58="Concluída",IF(OR(S58="",M58=""),"Falta evidência/data","Confirmada"),"Não confirmada")</x:f>
        <x:v>Não confirmada</x:v>
      </x:c>
      <x:c r="U58" s="33" t="str">
        <x:f>IF(T58="Confirmada","Concluída",IF(I58="Cancelada","Cancelada",IF(L58="","Sem prazo",IF(L58&lt;TODAY(),"Prazo vencido","No prazo"))))</x:f>
        <x:v>Sem prazo</x:v>
      </x:c>
      <x:c r="V58" s="34"/>
    </x:row>
    <x:row r="59" ht="62" customHeight="1">
      <x:c r="A59" s="33" t="str">
        <x:v>QF-04</x:v>
      </x:c>
      <x:c r="B59" s="33" t="str">
        <x:v>AR-07</x:v>
      </x:c>
      <x:c r="C59" s="33" t="str">
        <x:v>OBJ-07</x:v>
      </x:c>
      <x:c r="D59" s="33" t="str">
        <x:v>Formalizar contrato de Block</x:v>
      </x:c>
      <x:c r="E59" s="33" t="str">
        <x:v>Identidade, parent, claims, evidences, tool, CTA e presentation documentados.</x:v>
      </x:c>
      <x:c r="F59" s="33" t="str"/>
      <x:c r="G59" s="33" t="str">
        <x:v>Atividade</x:v>
      </x:c>
      <x:c r="H59" s="33" t="str">
        <x:v>Obrigatório</x:v>
      </x:c>
      <x:c r="I59" s="34" t="str">
        <x:v>A confirmar</x:v>
      </x:c>
      <x:c r="J59" s="34" t="str">
        <x:v>A definir</x:v>
      </x:c>
      <x:c r="K59" s="35"/>
      <x:c r="L59" s="35"/>
      <x:c r="M59" s="35"/>
      <x:c r="N59" s="33" t="str">
        <x:v>QF-03</x:v>
      </x:c>
      <x:c r="O59" s="33" t="str"/>
      <x:c r="P59" s="33" t="str">
        <x:v>GTM-15</x:v>
      </x:c>
      <x:c r="Q59" s="33" t="str">
        <x:v>4.7</x:v>
      </x:c>
      <x:c r="R59" s="33" t="str">
        <x:v>Decomposição proposta</x:v>
      </x:c>
      <x:c r="S59" s="34"/>
      <x:c r="T59" s="33" t="str">
        <x:f>IF(I59="Concluída",IF(OR(S59="",M59=""),"Falta evidência/data","Confirmada"),"Não confirmada")</x:f>
        <x:v>Não confirmada</x:v>
      </x:c>
      <x:c r="U59" s="33" t="str">
        <x:f>IF(T59="Confirmada","Concluída",IF(I59="Cancelada","Cancelada",IF(L59="","Sem prazo",IF(L59&lt;TODAY(),"Prazo vencido","No prazo"))))</x:f>
        <x:v>Sem prazo</x:v>
      </x:c>
      <x:c r="V59" s="34"/>
    </x:row>
    <x:row r="60" ht="62" customHeight="1">
      <x:c r="A60" s="33" t="str">
        <x:v>QF-05</x:v>
      </x:c>
      <x:c r="B60" s="33" t="str">
        <x:v>AR-07</x:v>
      </x:c>
      <x:c r="C60" s="33" t="str">
        <x:v>OBJ-07</x:v>
      </x:c>
      <x:c r="D60" s="33" t="str">
        <x:v>Implementar renderização reutilizável</x:v>
      </x:c>
      <x:c r="E60" s="33" t="str">
        <x:v>Mesmo QF renderizado sem duplicar conteúdo; IDs preservados.</x:v>
      </x:c>
      <x:c r="F60" s="33" t="str"/>
      <x:c r="G60" s="33" t="str">
        <x:v>Atividade</x:v>
      </x:c>
      <x:c r="H60" s="33" t="str">
        <x:v>Obrigatório</x:v>
      </x:c>
      <x:c r="I60" s="34" t="str">
        <x:v>A confirmar</x:v>
      </x:c>
      <x:c r="J60" s="34" t="str">
        <x:v>A definir</x:v>
      </x:c>
      <x:c r="K60" s="35"/>
      <x:c r="L60" s="35"/>
      <x:c r="M60" s="35"/>
      <x:c r="N60" s="33" t="str">
        <x:v>QF-04;BLOG-04</x:v>
      </x:c>
      <x:c r="O60" s="33" t="str"/>
      <x:c r="P60" s="33" t="str">
        <x:v>GTM-09;GTM-15</x:v>
      </x:c>
      <x:c r="Q60" s="33" t="str">
        <x:v>4.7;4.8</x:v>
      </x:c>
      <x:c r="R60" s="33" t="str">
        <x:v>Decomposição proposta</x:v>
      </x:c>
      <x:c r="S60" s="34"/>
      <x:c r="T60" s="33" t="str">
        <x:f>IF(I60="Concluída",IF(OR(S60="",M60=""),"Falta evidência/data","Confirmada"),"Não confirmada")</x:f>
        <x:v>Não confirmada</x:v>
      </x:c>
      <x:c r="U60" s="33" t="str">
        <x:f>IF(T60="Confirmada","Concluída",IF(I60="Cancelada","Cancelada",IF(L60="","Sem prazo",IF(L60&lt;TODAY(),"Prazo vencido","No prazo"))))</x:f>
        <x:v>Sem prazo</x:v>
      </x:c>
      <x:c r="V60" s="34"/>
    </x:row>
    <x:row r="61" ht="62" customHeight="1">
      <x:c r="A61" s="33" t="str">
        <x:v>QF-06</x:v>
      </x:c>
      <x:c r="B61" s="33" t="str">
        <x:v>AR-07</x:v>
      </x:c>
      <x:c r="C61" s="33" t="str">
        <x:v>OBJ-07</x:v>
      </x:c>
      <x:c r="D61" s="33" t="str">
        <x:v>Validar e publicar QFs aprovados</x:v>
      </x:c>
      <x:c r="E61" s="33" t="str">
        <x:v>Claims factuais com fonte; inferências marcadas; links canônicos registrados.</x:v>
      </x:c>
      <x:c r="F61" s="33" t="str"/>
      <x:c r="G61" s="33" t="str">
        <x:v>Atividade</x:v>
      </x:c>
      <x:c r="H61" s="33" t="str">
        <x:v>Obrigatório</x:v>
      </x:c>
      <x:c r="I61" s="34" t="str">
        <x:v>A confirmar</x:v>
      </x:c>
      <x:c r="J61" s="34" t="str">
        <x:v>A definir</x:v>
      </x:c>
      <x:c r="K61" s="35"/>
      <x:c r="L61" s="35"/>
      <x:c r="M61" s="35"/>
      <x:c r="N61" s="33" t="str">
        <x:v>QF-05</x:v>
      </x:c>
      <x:c r="O61" s="33" t="str"/>
      <x:c r="P61" s="33" t="str">
        <x:v>GTM-14;GTM-15</x:v>
      </x:c>
      <x:c r="Q61" s="33" t="str">
        <x:v>17.3</x:v>
      </x:c>
      <x:c r="R61" s="33" t="str">
        <x:v>Decomposição proposta</x:v>
      </x:c>
      <x:c r="S61" s="34"/>
      <x:c r="T61" s="33" t="str">
        <x:f>IF(I61="Concluída",IF(OR(S61="",M61=""),"Falta evidência/data","Confirmada"),"Não confirmada")</x:f>
        <x:v>Não confirmada</x:v>
      </x:c>
      <x:c r="U61" s="33" t="str">
        <x:f>IF(T61="Confirmada","Concluída",IF(I61="Cancelada","Cancelada",IF(L61="","Sem prazo",IF(L61&lt;TODAY(),"Prazo vencido","No prazo"))))</x:f>
        <x:v>Sem prazo</x:v>
      </x:c>
      <x:c r="V61" s="34"/>
    </x:row>
    <x:row r="62" ht="62" customHeight="1">
      <x:c r="A62" s="33" t="str">
        <x:v>DST-01</x:v>
      </x:c>
      <x:c r="B62" s="33" t="str">
        <x:v>AR-08</x:v>
      </x:c>
      <x:c r="C62" s="33" t="str">
        <x:v>OBJ-08</x:v>
      </x:c>
      <x:c r="D62" s="33" t="str">
        <x:v>Priorizar canais e função no funil</x:v>
      </x:c>
      <x:c r="E62" s="33" t="str">
        <x:v>Canais ativos, objetivo e formatos aprovados.</x:v>
      </x:c>
      <x:c r="F62" s="33" t="str"/>
      <x:c r="G62" s="33" t="str">
        <x:v>Atividade</x:v>
      </x:c>
      <x:c r="H62" s="33" t="str">
        <x:v>Obrigatório</x:v>
      </x:c>
      <x:c r="I62" s="34" t="str">
        <x:v>A confirmar</x:v>
      </x:c>
      <x:c r="J62" s="34" t="str">
        <x:v>A definir</x:v>
      </x:c>
      <x:c r="K62" s="35"/>
      <x:c r="L62" s="35"/>
      <x:c r="M62" s="35"/>
      <x:c r="N62" s="33" t="str">
        <x:v>EDT-02</x:v>
      </x:c>
      <x:c r="O62" s="33" t="str">
        <x:v>DEC-07</x:v>
      </x:c>
      <x:c r="P62" s="33" t="str">
        <x:v>GTM-04</x:v>
      </x:c>
      <x:c r="Q62" s="33" t="str">
        <x:v>1.4</x:v>
      </x:c>
      <x:c r="R62" s="33" t="str">
        <x:v>Decomposição proposta</x:v>
      </x:c>
      <x:c r="S62" s="34"/>
      <x:c r="T62" s="33" t="str">
        <x:f>IF(I62="Concluída",IF(OR(S62="",M62=""),"Falta evidência/data","Confirmada"),"Não confirmada")</x:f>
        <x:v>Não confirmada</x:v>
      </x:c>
      <x:c r="U62" s="33" t="str">
        <x:f>IF(T62="Confirmada","Concluída",IF(I62="Cancelada","Cancelada",IF(L62="","Sem prazo",IF(L62&lt;TODAY(),"Prazo vencido","No prazo"))))</x:f>
        <x:v>Sem prazo</x:v>
      </x:c>
      <x:c r="V62" s="34"/>
    </x:row>
    <x:row r="63" ht="62" customHeight="1">
      <x:c r="A63" s="33" t="str">
        <x:v>DST-02</x:v>
      </x:c>
      <x:c r="B63" s="33" t="str">
        <x:v>AR-08</x:v>
      </x:c>
      <x:c r="C63" s="33" t="str">
        <x:v>OBJ-08</x:v>
      </x:c>
      <x:c r="D63" s="33" t="str">
        <x:v>Definir KPIs e metas</x:v>
      </x:c>
      <x:c r="E63" s="33" t="str">
        <x:v>Downloads, compartilhamento, feedback, aquisição e conversão definidos.</x:v>
      </x:c>
      <x:c r="F63" s="33" t="str"/>
      <x:c r="G63" s="33" t="str">
        <x:v>Atividade</x:v>
      </x:c>
      <x:c r="H63" s="33" t="str">
        <x:v>Obrigatório</x:v>
      </x:c>
      <x:c r="I63" s="34" t="str">
        <x:v>A confirmar</x:v>
      </x:c>
      <x:c r="J63" s="34" t="str">
        <x:v>A definir</x:v>
      </x:c>
      <x:c r="K63" s="35"/>
      <x:c r="L63" s="35"/>
      <x:c r="M63" s="35"/>
      <x:c r="N63" s="33" t="str">
        <x:v>GOV-01</x:v>
      </x:c>
      <x:c r="O63" s="33" t="str">
        <x:v>DEC-04</x:v>
      </x:c>
      <x:c r="P63" s="33" t="str">
        <x:v>GTM-01;GTM-17</x:v>
      </x:c>
      <x:c r="Q63" s="33" t="str">
        <x:v>1.5;1.6;8.3</x:v>
      </x:c>
      <x:c r="R63" s="33" t="str">
        <x:v>Decomposição proposta</x:v>
      </x:c>
      <x:c r="S63" s="34"/>
      <x:c r="T63" s="33" t="str">
        <x:f>IF(I63="Concluída",IF(OR(S63="",M63=""),"Falta evidência/data","Confirmada"),"Não confirmada")</x:f>
        <x:v>Não confirmada</x:v>
      </x:c>
      <x:c r="U63" s="33" t="str">
        <x:f>IF(T63="Confirmada","Concluída",IF(I63="Cancelada","Cancelada",IF(L63="","Sem prazo",IF(L63&lt;TODAY(),"Prazo vencido","No prazo"))))</x:f>
        <x:v>Sem prazo</x:v>
      </x:c>
      <x:c r="V63" s="34"/>
    </x:row>
    <x:row r="64" ht="62" customHeight="1">
      <x:c r="A64" s="33" t="str">
        <x:v>DST-03</x:v>
      </x:c>
      <x:c r="B64" s="33" t="str">
        <x:v>AR-08</x:v>
      </x:c>
      <x:c r="C64" s="33" t="str">
        <x:v>OBJ-08</x:v>
      </x:c>
      <x:c r="D64" s="33" t="str">
        <x:v>Criar plano de eventos first-party</x:v>
      </x:c>
      <x:c r="E64" s="33" t="str">
        <x:v>Eventos, IDs de assets, origem, período e regras de coleta registrados.</x:v>
      </x:c>
      <x:c r="F64" s="33" t="str"/>
      <x:c r="G64" s="33" t="str">
        <x:v>Atividade</x:v>
      </x:c>
      <x:c r="H64" s="33" t="str">
        <x:v>Obrigatório</x:v>
      </x:c>
      <x:c r="I64" s="34" t="str">
        <x:v>A confirmar</x:v>
      </x:c>
      <x:c r="J64" s="34" t="str">
        <x:v>A definir</x:v>
      </x:c>
      <x:c r="K64" s="35"/>
      <x:c r="L64" s="35"/>
      <x:c r="M64" s="35"/>
      <x:c r="N64" s="33" t="str">
        <x:v>DST-02;SCH-07</x:v>
      </x:c>
      <x:c r="O64" s="33" t="str"/>
      <x:c r="P64" s="33" t="str">
        <x:v>GTM-02;GTM-09</x:v>
      </x:c>
      <x:c r="Q64" s="33" t="str">
        <x:v>4.1</x:v>
      </x:c>
      <x:c r="R64" s="33" t="str">
        <x:v>Decomposição proposta</x:v>
      </x:c>
      <x:c r="S64" s="34"/>
      <x:c r="T64" s="33" t="str">
        <x:f>IF(I64="Concluída",IF(OR(S64="",M64=""),"Falta evidência/data","Confirmada"),"Não confirmada")</x:f>
        <x:v>Não confirmada</x:v>
      </x:c>
      <x:c r="U64" s="33" t="str">
        <x:f>IF(T64="Confirmada","Concluída",IF(I64="Cancelada","Cancelada",IF(L64="","Sem prazo",IF(L64&lt;TODAY(),"Prazo vencido","No prazo"))))</x:f>
        <x:v>Sem prazo</x:v>
      </x:c>
      <x:c r="V64" s="34"/>
    </x:row>
    <x:row r="65" ht="62" customHeight="1">
      <x:c r="A65" s="33" t="str">
        <x:v>DST-04</x:v>
      </x:c>
      <x:c r="B65" s="33" t="str">
        <x:v>AR-08</x:v>
      </x:c>
      <x:c r="C65" s="33" t="str">
        <x:v>OBJ-08</x:v>
      </x:c>
      <x:c r="D65" s="33" t="str">
        <x:v>Confirmar entrypoints e contas</x:v>
      </x:c>
      <x:c r="E65" s="33" t="str">
        <x:v>ActiveCampaign, distribuição, Notion e Prisma têm papel e dono definidos.</x:v>
      </x:c>
      <x:c r="F65" s="33" t="str"/>
      <x:c r="G65" s="33" t="str">
        <x:v>Atividade</x:v>
      </x:c>
      <x:c r="H65" s="33" t="str">
        <x:v>Obrigatório</x:v>
      </x:c>
      <x:c r="I65" s="34" t="str">
        <x:v>A confirmar</x:v>
      </x:c>
      <x:c r="J65" s="34" t="str">
        <x:v>A definir</x:v>
      </x:c>
      <x:c r="K65" s="35"/>
      <x:c r="L65" s="35"/>
      <x:c r="M65" s="35"/>
      <x:c r="N65" s="33" t="str">
        <x:v>GOV-02</x:v>
      </x:c>
      <x:c r="O65" s="33" t="str">
        <x:v>DEC-11</x:v>
      </x:c>
      <x:c r="P65" s="33" t="str">
        <x:v>GTM-10</x:v>
      </x:c>
      <x:c r="Q65" s="33" t="str">
        <x:v>15.2;16.3</x:v>
      </x:c>
      <x:c r="R65" s="33" t="str">
        <x:v>Decomposição proposta</x:v>
      </x:c>
      <x:c r="S65" s="34"/>
      <x:c r="T65" s="33" t="str">
        <x:f>IF(I65="Concluída",IF(OR(S65="",M65=""),"Falta evidência/data","Confirmada"),"Não confirmada")</x:f>
        <x:v>Não confirmada</x:v>
      </x:c>
      <x:c r="U65" s="33" t="str">
        <x:f>IF(T65="Confirmada","Concluída",IF(I65="Cancelada","Cancelada",IF(L65="","Sem prazo",IF(L65&lt;TODAY(),"Prazo vencido","No prazo"))))</x:f>
        <x:v>Sem prazo</x:v>
      </x:c>
      <x:c r="V65" s="34"/>
    </x:row>
    <x:row r="66" ht="62" customHeight="1">
      <x:c r="A66" s="33" t="str">
        <x:v>DST-05</x:v>
      </x:c>
      <x:c r="B66" s="33" t="str">
        <x:v>AR-08</x:v>
      </x:c>
      <x:c r="C66" s="33" t="str">
        <x:v>OBJ-08</x:v>
      </x:c>
      <x:c r="D66" s="33" t="str">
        <x:v>Configurar destinos de CTAs</x:v>
      </x:c>
      <x:c r="E66" s="33" t="str">
        <x:v>Cada CTA tem ação única, destino funcional e evento de medição.</x:v>
      </x:c>
      <x:c r="F66" s="33" t="str"/>
      <x:c r="G66" s="33" t="str">
        <x:v>Atividade</x:v>
      </x:c>
      <x:c r="H66" s="33" t="str">
        <x:v>Obrigatório</x:v>
      </x:c>
      <x:c r="I66" s="34" t="str">
        <x:v>A confirmar</x:v>
      </x:c>
      <x:c r="J66" s="34" t="str">
        <x:v>A definir</x:v>
      </x:c>
      <x:c r="K66" s="35"/>
      <x:c r="L66" s="35"/>
      <x:c r="M66" s="35"/>
      <x:c r="N66" s="33" t="str">
        <x:v>DST-03;BLOG-05;STO-09</x:v>
      </x:c>
      <x:c r="O66" s="33" t="str"/>
      <x:c r="P66" s="33" t="str">
        <x:v>GTM-05</x:v>
      </x:c>
      <x:c r="Q66" s="33" t="str">
        <x:v>2.9</x:v>
      </x:c>
      <x:c r="R66" s="33" t="str">
        <x:v>Decomposição proposta</x:v>
      </x:c>
      <x:c r="S66" s="34"/>
      <x:c r="T66" s="33" t="str">
        <x:f>IF(I66="Concluída",IF(OR(S66="",M66=""),"Falta evidência/data","Confirmada"),"Não confirmada")</x:f>
        <x:v>Não confirmada</x:v>
      </x:c>
      <x:c r="U66" s="33" t="str">
        <x:f>IF(T66="Confirmada","Concluída",IF(I66="Cancelada","Cancelada",IF(L66="","Sem prazo",IF(L66&lt;TODAY(),"Prazo vencido","No prazo"))))</x:f>
        <x:v>Sem prazo</x:v>
      </x:c>
      <x:c r="V66" s="34"/>
    </x:row>
    <x:row r="67" ht="62" customHeight="1">
      <x:c r="A67" s="33" t="str">
        <x:v>DST-06</x:v>
      </x:c>
      <x:c r="B67" s="33" t="str">
        <x:v>AR-08</x:v>
      </x:c>
      <x:c r="C67" s="33" t="str">
        <x:v>OBJ-08</x:v>
      </x:c>
      <x:c r="D67" s="33" t="str">
        <x:v>Validar coleta de métricas</x:v>
      </x:c>
      <x:c r="E67" s="33" t="str">
        <x:v>Ações de teste geram eventos rastreáveis no relatório.</x:v>
      </x:c>
      <x:c r="F67" s="33" t="str"/>
      <x:c r="G67" s="33" t="str">
        <x:v>Atividade</x:v>
      </x:c>
      <x:c r="H67" s="33" t="str">
        <x:v>Obrigatório</x:v>
      </x:c>
      <x:c r="I67" s="34" t="str">
        <x:v>A confirmar</x:v>
      </x:c>
      <x:c r="J67" s="34" t="str">
        <x:v>A definir</x:v>
      </x:c>
      <x:c r="K67" s="35"/>
      <x:c r="L67" s="35"/>
      <x:c r="M67" s="35"/>
      <x:c r="N67" s="33" t="str">
        <x:v>DST-03;BLOG-05</x:v>
      </x:c>
      <x:c r="O67" s="33" t="str"/>
      <x:c r="P67" s="33" t="str">
        <x:v>GTM-01;GTM-02</x:v>
      </x:c>
      <x:c r="Q67" s="33" t="str">
        <x:v>1.5</x:v>
      </x:c>
      <x:c r="R67" s="33" t="str">
        <x:v>Decomposição proposta</x:v>
      </x:c>
      <x:c r="S67" s="34"/>
      <x:c r="T67" s="33" t="str">
        <x:f>IF(I67="Concluída",IF(OR(S67="",M67=""),"Falta evidência/data","Confirmada"),"Não confirmada")</x:f>
        <x:v>Não confirmada</x:v>
      </x:c>
      <x:c r="U67" s="33" t="str">
        <x:f>IF(T67="Confirmada","Concluída",IF(I67="Cancelada","Cancelada",IF(L67="","Sem prazo",IF(L67&lt;TODAY(),"Prazo vencido","No prazo"))))</x:f>
        <x:v>Sem prazo</x:v>
      </x:c>
      <x:c r="V67" s="34"/>
    </x:row>
    <x:row r="68" ht="62" customHeight="1">
      <x:c r="A68" s="33" t="str">
        <x:v>DST-07</x:v>
      </x:c>
      <x:c r="B68" s="33" t="str">
        <x:v>AR-08</x:v>
      </x:c>
      <x:c r="C68" s="33" t="str">
        <x:v>OBJ-08</x:v>
      </x:c>
      <x:c r="D68" s="33" t="str">
        <x:v>Definir resposta e moderação</x:v>
      </x:c>
      <x:c r="E68" s="33" t="str">
        <x:v>Rotina de comunidade com responsável e fluxo de feedback.</x:v>
      </x:c>
      <x:c r="F68" s="33" t="str"/>
      <x:c r="G68" s="33" t="str">
        <x:v>Atividade</x:v>
      </x:c>
      <x:c r="H68" s="33" t="str">
        <x:v>Obrigatório</x:v>
      </x:c>
      <x:c r="I68" s="34" t="str">
        <x:v>A confirmar</x:v>
      </x:c>
      <x:c r="J68" s="34" t="str">
        <x:v>A definir</x:v>
      </x:c>
      <x:c r="K68" s="35"/>
      <x:c r="L68" s="35"/>
      <x:c r="M68" s="35"/>
      <x:c r="N68" s="33" t="str">
        <x:v>DST-01;GOV-02</x:v>
      </x:c>
      <x:c r="O68" s="33" t="str"/>
      <x:c r="P68" s="33" t="str">
        <x:v>GTM-17</x:v>
      </x:c>
      <x:c r="Q68" s="33" t="str">
        <x:v>12.2;13.2</x:v>
      </x:c>
      <x:c r="R68" s="33" t="str">
        <x:v>Decomposição proposta</x:v>
      </x:c>
      <x:c r="S68" s="34"/>
      <x:c r="T68" s="33" t="str">
        <x:f>IF(I68="Concluída",IF(OR(S68="",M68=""),"Falta evidência/data","Confirmada"),"Não confirmada")</x:f>
        <x:v>Não confirmada</x:v>
      </x:c>
      <x:c r="U68" s="33" t="str">
        <x:f>IF(T68="Confirmada","Concluída",IF(I68="Cancelada","Cancelada",IF(L68="","Sem prazo",IF(L68&lt;TODAY(),"Prazo vencido","No prazo"))))</x:f>
        <x:v>Sem prazo</x:v>
      </x:c>
      <x:c r="V68" s="34"/>
    </x:row>
    <x:row r="69" ht="62" customHeight="1">
      <x:c r="A69" s="33" t="str">
        <x:v>DST-08</x:v>
      </x:c>
      <x:c r="B69" s="33" t="str">
        <x:v>AR-08</x:v>
      </x:c>
      <x:c r="C69" s="33" t="str">
        <x:v>OBJ-08</x:v>
      </x:c>
      <x:c r="D69" s="33" t="str">
        <x:v>Consolidar aprendizado do lançamento</x:v>
      </x:c>
      <x:c r="E69" s="33" t="str">
        <x:v>Resultados por canal/asset e decisões do próximo ciclo registrados.</x:v>
      </x:c>
      <x:c r="F69" s="33" t="str"/>
      <x:c r="G69" s="33" t="str">
        <x:v>Atividade</x:v>
      </x:c>
      <x:c r="H69" s="33" t="str">
        <x:v>Obrigatório</x:v>
      </x:c>
      <x:c r="I69" s="34" t="str">
        <x:v>A confirmar</x:v>
      </x:c>
      <x:c r="J69" s="34" t="str">
        <x:v>A definir</x:v>
      </x:c>
      <x:c r="K69" s="35"/>
      <x:c r="L69" s="35"/>
      <x:c r="M69" s="35"/>
      <x:c r="N69" s="33" t="str">
        <x:v>GOV-09;PACK-03-DIST</x:v>
      </x:c>
      <x:c r="O69" s="33" t="str"/>
      <x:c r="P69" s="33" t="str">
        <x:v>GTM-04</x:v>
      </x:c>
      <x:c r="Q69" s="33" t="str">
        <x:v>10.4</x:v>
      </x:c>
      <x:c r="R69" s="33" t="str">
        <x:v>Decomposição proposta</x:v>
      </x:c>
      <x:c r="S69" s="34"/>
      <x:c r="T69" s="33" t="str">
        <x:f>IF(I69="Concluída",IF(OR(S69="",M69=""),"Falta evidência/data","Confirmada"),"Não confirmada")</x:f>
        <x:v>Não confirmada</x:v>
      </x:c>
      <x:c r="U69" s="33" t="str">
        <x:f>IF(T69="Confirmada","Concluída",IF(I69="Cancelada","Cancelada",IF(L69="","Sem prazo",IF(L69&lt;TODAY(),"Prazo vencido","No prazo"))))</x:f>
        <x:v>Sem prazo</x:v>
      </x:c>
      <x:c r="V69" s="34"/>
    </x:row>
    <x:row r="70" ht="62" customHeight="1">
      <x:c r="A70" s="33" t="str">
        <x:v>PACK-01-BRIEF</x:v>
      </x:c>
      <x:c r="B70" s="33" t="str">
        <x:v>AR-02</x:v>
      </x:c>
      <x:c r="C70" s="33" t="str">
        <x:v>OBJ-02</x:v>
      </x:c>
      <x:c r="D70" s="33" t="str">
        <x:v>Definir tema e brief do PACK-01</x:v>
      </x:c>
      <x:c r="E70" s="33" t="str">
        <x:v>Tema, pilar, consciência, público, evidências e CTA definidos.</x:v>
      </x:c>
      <x:c r="F70" s="33" t="str">
        <x:v>PACK-01</x:v>
      </x:c>
      <x:c r="G70" s="33" t="str">
        <x:v>Atividade</x:v>
      </x:c>
      <x:c r="H70" s="33" t="str">
        <x:v>Obrigatório</x:v>
      </x:c>
      <x:c r="I70" s="34" t="str">
        <x:v>A confirmar</x:v>
      </x:c>
      <x:c r="J70" s="34" t="str">
        <x:v>A definir</x:v>
      </x:c>
      <x:c r="K70" s="35"/>
      <x:c r="L70" s="35"/>
      <x:c r="M70" s="35"/>
      <x:c r="N70" s="33" t="str">
        <x:v>EDT-03;GOV-03</x:v>
      </x:c>
      <x:c r="O70" s="33" t="str">
        <x:v>DEC-10</x:v>
      </x:c>
      <x:c r="P70" s="33" t="str">
        <x:v>GTM-03;GTM-05</x:v>
      </x:c>
      <x:c r="Q70" s="33" t="str">
        <x:v>11.1;11.2;11.4</x:v>
      </x:c>
      <x:c r="R70" s="33" t="str">
        <x:v>Decomposição proposta</x:v>
      </x:c>
      <x:c r="S70" s="34"/>
      <x:c r="T70" s="33" t="str">
        <x:f>IF(I70="Concluída",IF(OR(S70="",M70=""),"Falta evidência/data","Confirmada"),"Não confirmada")</x:f>
        <x:v>Não confirmada</x:v>
      </x:c>
      <x:c r="U70" s="33" t="str">
        <x:f>IF(T70="Confirmada","Concluída",IF(I70="Cancelada","Cancelada",IF(L70="","Sem prazo",IF(L70&lt;TODAY(),"Prazo vencido","No prazo"))))</x:f>
        <x:v>Sem prazo</x:v>
      </x:c>
      <x:c r="V70" s="34"/>
    </x:row>
    <x:row r="71" ht="62" customHeight="1">
      <x:c r="A71" s="33" t="str">
        <x:v>PACK-01-PESQ</x:v>
      </x:c>
      <x:c r="B71" s="33" t="str">
        <x:v>AR-02</x:v>
      </x:c>
      <x:c r="C71" s="33" t="str">
        <x:v>OBJ-02</x:v>
      </x:c>
      <x:c r="D71" s="33" t="str">
        <x:v>Pesquisar e validar evidências do PACK-01</x:v>
      </x:c>
      <x:c r="E71" s="33" t="str">
        <x:v>Fontes e claims registrados; inferências marcadas.</x:v>
      </x:c>
      <x:c r="F71" s="33" t="str">
        <x:v>PACK-01</x:v>
      </x:c>
      <x:c r="G71" s="33" t="str">
        <x:v>Atividade</x:v>
      </x:c>
      <x:c r="H71" s="33" t="str">
        <x:v>Obrigatório</x:v>
      </x:c>
      <x:c r="I71" s="34" t="str">
        <x:v>A confirmar</x:v>
      </x:c>
      <x:c r="J71" s="34" t="str">
        <x:v>A definir</x:v>
      </x:c>
      <x:c r="K71" s="35"/>
      <x:c r="L71" s="35"/>
      <x:c r="M71" s="35"/>
      <x:c r="N71" s="33" t="str">
        <x:v>PACK-01-BRIEF;SCH-07</x:v>
      </x:c>
      <x:c r="O71" s="33" t="str"/>
      <x:c r="P71" s="33" t="str">
        <x:v>GTM-05</x:v>
      </x:c>
      <x:c r="Q71" s="33" t="str">
        <x:v>14.1;17.3</x:v>
      </x:c>
      <x:c r="R71" s="33" t="str">
        <x:v>Decomposição proposta</x:v>
      </x:c>
      <x:c r="S71" s="34"/>
      <x:c r="T71" s="33" t="str">
        <x:f>IF(I71="Concluída",IF(OR(S71="",M71=""),"Falta evidência/data","Confirmada"),"Não confirmada")</x:f>
        <x:v>Não confirmada</x:v>
      </x:c>
      <x:c r="U71" s="33" t="str">
        <x:f>IF(T71="Confirmada","Concluída",IF(I71="Cancelada","Cancelada",IF(L71="","Sem prazo",IF(L71&lt;TODAY(),"Prazo vencido","No prazo"))))</x:f>
        <x:v>Sem prazo</x:v>
      </x:c>
      <x:c r="V71" s="34"/>
    </x:row>
    <x:row r="72" ht="62" customHeight="1">
      <x:c r="A72" s="33" t="str">
        <x:v>PACK-01-ART-01</x:v>
      </x:c>
      <x:c r="B72" s="33" t="str">
        <x:v>AR-02</x:v>
      </x:c>
      <x:c r="C72" s="33" t="str">
        <x:v>OBJ-02</x:v>
      </x:c>
      <x:c r="D72" s="33" t="str">
        <x:v>Produzir artigo-mãe 1 do PACK-01</x:v>
      </x:c>
      <x:c r="E72" s="33" t="str">
        <x:v>Markdown/HTML; 1.800–2.400 palavras; 9–11 blocos. Revisão e arquivo final registrados.</x:v>
      </x:c>
      <x:c r="F72" s="33" t="str">
        <x:v>PACK-01</x:v>
      </x:c>
      <x:c r="G72" s="33" t="str">
        <x:v>ART</x:v>
      </x:c>
      <x:c r="H72" s="33" t="str">
        <x:v>Obrigatório</x:v>
      </x:c>
      <x:c r="I72" s="34" t="str">
        <x:v>A confirmar</x:v>
      </x:c>
      <x:c r="J72" s="34" t="str">
        <x:v>A definir</x:v>
      </x:c>
      <x:c r="K72" s="35"/>
      <x:c r="L72" s="35"/>
      <x:c r="M72" s="35"/>
      <x:c r="N72" s="33" t="str">
        <x:v>PACK-01-PESQ</x:v>
      </x:c>
      <x:c r="O72" s="33" t="str"/>
      <x:c r="P72" s="33" t="str">
        <x:v>GTM-03;GTM-05</x:v>
      </x:c>
      <x:c r="Q72" s="33" t="str">
        <x:v>11.2;2.6</x:v>
      </x:c>
      <x:c r="R72" s="33" t="str">
        <x:v>Decomposição proposta</x:v>
      </x:c>
      <x:c r="S72" s="34"/>
      <x:c r="T72" s="33" t="str">
        <x:f>IF(I72="Concluída",IF(OR(S72="",M72=""),"Falta evidência/data","Confirmada"),"Não confirmada")</x:f>
        <x:v>Não confirmada</x:v>
      </x:c>
      <x:c r="U72" s="33" t="str">
        <x:f>IF(T72="Confirmada","Concluída",IF(I72="Cancelada","Cancelada",IF(L72="","Sem prazo",IF(L72&lt;TODAY(),"Prazo vencido","No prazo"))))</x:f>
        <x:v>Sem prazo</x:v>
      </x:c>
      <x:c r="V72" s="34"/>
    </x:row>
    <x:row r="73" ht="62" customHeight="1">
      <x:c r="A73" s="33" t="str">
        <x:v>PACK-01-VID-01</x:v>
      </x:c>
      <x:c r="B73" s="33" t="str">
        <x:v>AR-02</x:v>
      </x:c>
      <x:c r="C73" s="33" t="str">
        <x:v>OBJ-02</x:v>
      </x:c>
      <x:c r="D73" s="33" t="str">
        <x:v>Produzir vídeo-mãe 1 do PACK-01</x:v>
      </x:c>
      <x:c r="E73" s="33" t="str">
        <x:v>MP4; 16:9; 1920×1080; 8–12 min. Revisão e arquivo final registrados.</x:v>
      </x:c>
      <x:c r="F73" s="33" t="str">
        <x:v>PACK-01</x:v>
      </x:c>
      <x:c r="G73" s="33" t="str">
        <x:v>VID</x:v>
      </x:c>
      <x:c r="H73" s="33" t="str">
        <x:v>Obrigatório</x:v>
      </x:c>
      <x:c r="I73" s="34" t="str">
        <x:v>A confirmar</x:v>
      </x:c>
      <x:c r="J73" s="34" t="str">
        <x:v>A definir</x:v>
      </x:c>
      <x:c r="K73" s="35"/>
      <x:c r="L73" s="35"/>
      <x:c r="M73" s="35"/>
      <x:c r="N73" s="33" t="str">
        <x:v>PACK-01-ART-01;AGT-04</x:v>
      </x:c>
      <x:c r="O73" s="33" t="str"/>
      <x:c r="P73" s="33" t="str">
        <x:v>GTM-03;GTM-05</x:v>
      </x:c>
      <x:c r="Q73" s="33" t="str">
        <x:v>11.2;2.6</x:v>
      </x:c>
      <x:c r="R73" s="33" t="str">
        <x:v>Decomposição proposta</x:v>
      </x:c>
      <x:c r="S73" s="34"/>
      <x:c r="T73" s="33" t="str">
        <x:f>IF(I73="Concluída",IF(OR(S73="",M73=""),"Falta evidência/data","Confirmada"),"Não confirmada")</x:f>
        <x:v>Não confirmada</x:v>
      </x:c>
      <x:c r="U73" s="33" t="str">
        <x:f>IF(T73="Confirmada","Concluída",IF(I73="Cancelada","Cancelada",IF(L73="","Sem prazo",IF(L73&lt;TODAY(),"Prazo vencido","No prazo"))))</x:f>
        <x:v>Sem prazo</x:v>
      </x:c>
      <x:c r="V73" s="34"/>
    </x:row>
    <x:row r="74" ht="62" customHeight="1">
      <x:c r="A74" s="33" t="str">
        <x:v>PACK-01-VRT-01</x:v>
      </x:c>
      <x:c r="B74" s="33" t="str">
        <x:v>AR-02</x:v>
      </x:c>
      <x:c r="C74" s="33" t="str">
        <x:v>OBJ-02</x:v>
      </x:c>
      <x:c r="D74" s="33" t="str">
        <x:v>Produzir vídeo vertical 1 do PACK-01</x:v>
      </x:c>
      <x:c r="E74" s="33" t="str">
        <x:v>MP4; 9:16; 1080×1920; 20–60 s. Shorts/Reels/TikTok são adaptações, sem contar novos masters.. Revisão e arquivo final registrados.</x:v>
      </x:c>
      <x:c r="F74" s="33" t="str">
        <x:v>PACK-01</x:v>
      </x:c>
      <x:c r="G74" s="33" t="str">
        <x:v>VRT</x:v>
      </x:c>
      <x:c r="H74" s="33" t="str">
        <x:v>Obrigatório</x:v>
      </x:c>
      <x:c r="I74" s="34" t="str">
        <x:v>A confirmar</x:v>
      </x:c>
      <x:c r="J74" s="34" t="str">
        <x:v>A definir</x:v>
      </x:c>
      <x:c r="K74" s="35"/>
      <x:c r="L74" s="35"/>
      <x:c r="M74" s="35"/>
      <x:c r="N74" s="33" t="str">
        <x:v>PACK-01-ART-01;PACK-01-VID-01</x:v>
      </x:c>
      <x:c r="O74" s="33" t="str"/>
      <x:c r="P74" s="33" t="str">
        <x:v>GTM-03;GTM-05</x:v>
      </x:c>
      <x:c r="Q74" s="33" t="str">
        <x:v>11.2;2.6</x:v>
      </x:c>
      <x:c r="R74" s="33" t="str">
        <x:v>Decomposição proposta</x:v>
      </x:c>
      <x:c r="S74" s="34"/>
      <x:c r="T74" s="33" t="str">
        <x:f>IF(I74="Concluída",IF(OR(S74="",M74=""),"Falta evidência/data","Confirmada"),"Não confirmada")</x:f>
        <x:v>Não confirmada</x:v>
      </x:c>
      <x:c r="U74" s="33" t="str">
        <x:f>IF(T74="Confirmada","Concluída",IF(I74="Cancelada","Cancelada",IF(L74="","Sem prazo",IF(L74&lt;TODAY(),"Prazo vencido","No prazo"))))</x:f>
        <x:v>Sem prazo</x:v>
      </x:c>
      <x:c r="V74" s="34"/>
    </x:row>
    <x:row r="75" ht="62" customHeight="1">
      <x:c r="A75" s="33" t="str">
        <x:v>PACK-01-VRT-02</x:v>
      </x:c>
      <x:c r="B75" s="33" t="str">
        <x:v>AR-02</x:v>
      </x:c>
      <x:c r="C75" s="33" t="str">
        <x:v>OBJ-02</x:v>
      </x:c>
      <x:c r="D75" s="33" t="str">
        <x:v>Produzir vídeo vertical 2 do PACK-01</x:v>
      </x:c>
      <x:c r="E75" s="33" t="str">
        <x:v>MP4; 9:16; 1080×1920; 20–60 s. Shorts/Reels/TikTok são adaptações, sem contar novos masters.. Revisão e arquivo final registrados.</x:v>
      </x:c>
      <x:c r="F75" s="33" t="str">
        <x:v>PACK-01</x:v>
      </x:c>
      <x:c r="G75" s="33" t="str">
        <x:v>VRT</x:v>
      </x:c>
      <x:c r="H75" s="33" t="str">
        <x:v>Obrigatório</x:v>
      </x:c>
      <x:c r="I75" s="34" t="str">
        <x:v>A confirmar</x:v>
      </x:c>
      <x:c r="J75" s="34" t="str">
        <x:v>A definir</x:v>
      </x:c>
      <x:c r="K75" s="35"/>
      <x:c r="L75" s="35"/>
      <x:c r="M75" s="35"/>
      <x:c r="N75" s="33" t="str">
        <x:v>PACK-01-ART-01;PACK-01-VID-01</x:v>
      </x:c>
      <x:c r="O75" s="33" t="str"/>
      <x:c r="P75" s="33" t="str">
        <x:v>GTM-03;GTM-05</x:v>
      </x:c>
      <x:c r="Q75" s="33" t="str">
        <x:v>11.2;2.6</x:v>
      </x:c>
      <x:c r="R75" s="33" t="str">
        <x:v>Decomposição proposta</x:v>
      </x:c>
      <x:c r="S75" s="34"/>
      <x:c r="T75" s="33" t="str">
        <x:f>IF(I75="Concluída",IF(OR(S75="",M75=""),"Falta evidência/data","Confirmada"),"Não confirmada")</x:f>
        <x:v>Não confirmada</x:v>
      </x:c>
      <x:c r="U75" s="33" t="str">
        <x:f>IF(T75="Confirmada","Concluída",IF(I75="Cancelada","Cancelada",IF(L75="","Sem prazo",IF(L75&lt;TODAY(),"Prazo vencido","No prazo"))))</x:f>
        <x:v>Sem prazo</x:v>
      </x:c>
      <x:c r="V75" s="34"/>
    </x:row>
    <x:row r="76" ht="62" customHeight="1">
      <x:c r="A76" s="33" t="str">
        <x:v>PACK-01-VRT-03</x:v>
      </x:c>
      <x:c r="B76" s="33" t="str">
        <x:v>AR-02</x:v>
      </x:c>
      <x:c r="C76" s="33" t="str">
        <x:v>OBJ-02</x:v>
      </x:c>
      <x:c r="D76" s="33" t="str">
        <x:v>Produzir vídeo vertical 3 do PACK-01</x:v>
      </x:c>
      <x:c r="E76" s="33" t="str">
        <x:v>MP4; 9:16; 1080×1920; 20–60 s. Shorts/Reels/TikTok são adaptações, sem contar novos masters.. Revisão e arquivo final registrados.</x:v>
      </x:c>
      <x:c r="F76" s="33" t="str">
        <x:v>PACK-01</x:v>
      </x:c>
      <x:c r="G76" s="33" t="str">
        <x:v>VRT</x:v>
      </x:c>
      <x:c r="H76" s="33" t="str">
        <x:v>Obrigatório</x:v>
      </x:c>
      <x:c r="I76" s="34" t="str">
        <x:v>A confirmar</x:v>
      </x:c>
      <x:c r="J76" s="34" t="str">
        <x:v>A definir</x:v>
      </x:c>
      <x:c r="K76" s="35"/>
      <x:c r="L76" s="35"/>
      <x:c r="M76" s="35"/>
      <x:c r="N76" s="33" t="str">
        <x:v>PACK-01-ART-01;PACK-01-VID-01</x:v>
      </x:c>
      <x:c r="O76" s="33" t="str"/>
      <x:c r="P76" s="33" t="str">
        <x:v>GTM-03;GTM-05</x:v>
      </x:c>
      <x:c r="Q76" s="33" t="str">
        <x:v>11.2;2.6</x:v>
      </x:c>
      <x:c r="R76" s="33" t="str">
        <x:v>Decomposição proposta</x:v>
      </x:c>
      <x:c r="S76" s="34"/>
      <x:c r="T76" s="33" t="str">
        <x:f>IF(I76="Concluída",IF(OR(S76="",M76=""),"Falta evidência/data","Confirmada"),"Não confirmada")</x:f>
        <x:v>Não confirmada</x:v>
      </x:c>
      <x:c r="U76" s="33" t="str">
        <x:f>IF(T76="Confirmada","Concluída",IF(I76="Cancelada","Cancelada",IF(L76="","Sem prazo",IF(L76&lt;TODAY(),"Prazo vencido","No prazo"))))</x:f>
        <x:v>Sem prazo</x:v>
      </x:c>
      <x:c r="V76" s="34"/>
    </x:row>
    <x:row r="77" ht="62" customHeight="1">
      <x:c r="A77" s="33" t="str">
        <x:v>PACK-01-VRT-04</x:v>
      </x:c>
      <x:c r="B77" s="33" t="str">
        <x:v>AR-02</x:v>
      </x:c>
      <x:c r="C77" s="33" t="str">
        <x:v>OBJ-02</x:v>
      </x:c>
      <x:c r="D77" s="33" t="str">
        <x:v>Produzir vídeo vertical 4 do PACK-01</x:v>
      </x:c>
      <x:c r="E77" s="33" t="str">
        <x:v>MP4; 9:16; 1080×1920; 20–60 s. Shorts/Reels/TikTok são adaptações, sem contar novos masters.. Revisão e arquivo final registrados.</x:v>
      </x:c>
      <x:c r="F77" s="33" t="str">
        <x:v>PACK-01</x:v>
      </x:c>
      <x:c r="G77" s="33" t="str">
        <x:v>VRT</x:v>
      </x:c>
      <x:c r="H77" s="33" t="str">
        <x:v>Obrigatório</x:v>
      </x:c>
      <x:c r="I77" s="34" t="str">
        <x:v>A confirmar</x:v>
      </x:c>
      <x:c r="J77" s="34" t="str">
        <x:v>A definir</x:v>
      </x:c>
      <x:c r="K77" s="35"/>
      <x:c r="L77" s="35"/>
      <x:c r="M77" s="35"/>
      <x:c r="N77" s="33" t="str">
        <x:v>PACK-01-ART-01;PACK-01-VID-01</x:v>
      </x:c>
      <x:c r="O77" s="33" t="str"/>
      <x:c r="P77" s="33" t="str">
        <x:v>GTM-03;GTM-05</x:v>
      </x:c>
      <x:c r="Q77" s="33" t="str">
        <x:v>11.2;2.6</x:v>
      </x:c>
      <x:c r="R77" s="33" t="str">
        <x:v>Decomposição proposta</x:v>
      </x:c>
      <x:c r="S77" s="34"/>
      <x:c r="T77" s="33" t="str">
        <x:f>IF(I77="Concluída",IF(OR(S77="",M77=""),"Falta evidência/data","Confirmada"),"Não confirmada")</x:f>
        <x:v>Não confirmada</x:v>
      </x:c>
      <x:c r="U77" s="33" t="str">
        <x:f>IF(T77="Confirmada","Concluída",IF(I77="Cancelada","Cancelada",IF(L77="","Sem prazo",IF(L77&lt;TODAY(),"Prazo vencido","No prazo"))))</x:f>
        <x:v>Sem prazo</x:v>
      </x:c>
      <x:c r="V77" s="34"/>
    </x:row>
    <x:row r="78" ht="62" customHeight="1">
      <x:c r="A78" s="33" t="str">
        <x:v>PACK-01-CRS-01</x:v>
      </x:c>
      <x:c r="B78" s="33" t="str">
        <x:v>AR-02</x:v>
      </x:c>
      <x:c r="C78" s="33" t="str">
        <x:v>OBJ-02</x:v>
      </x:c>
      <x:c r="D78" s="33" t="str">
        <x:v>Produzir carrossel 1 do PACK-01</x:v>
      </x:c>
      <x:c r="E78" s="33" t="str">
        <x:v>PNG/JPG ou PDF; 1080×1350; 6–10 páginas. Revisão e arquivo final registrados.</x:v>
      </x:c>
      <x:c r="F78" s="33" t="str">
        <x:v>PACK-01</x:v>
      </x:c>
      <x:c r="G78" s="33" t="str">
        <x:v>CRS</x:v>
      </x:c>
      <x:c r="H78" s="33" t="str">
        <x:v>Obrigatório</x:v>
      </x:c>
      <x:c r="I78" s="34" t="str">
        <x:v>A confirmar</x:v>
      </x:c>
      <x:c r="J78" s="34" t="str">
        <x:v>A definir</x:v>
      </x:c>
      <x:c r="K78" s="35"/>
      <x:c r="L78" s="35"/>
      <x:c r="M78" s="35"/>
      <x:c r="N78" s="33" t="str">
        <x:v>PACK-01-ART-01;PACK-01-VID-01</x:v>
      </x:c>
      <x:c r="O78" s="33" t="str"/>
      <x:c r="P78" s="33" t="str">
        <x:v>GTM-03;GTM-05</x:v>
      </x:c>
      <x:c r="Q78" s="33" t="str">
        <x:v>11.2;2.6</x:v>
      </x:c>
      <x:c r="R78" s="33" t="str">
        <x:v>Decomposição proposta</x:v>
      </x:c>
      <x:c r="S78" s="34"/>
      <x:c r="T78" s="33" t="str">
        <x:f>IF(I78="Concluída",IF(OR(S78="",M78=""),"Falta evidência/data","Confirmada"),"Não confirmada")</x:f>
        <x:v>Não confirmada</x:v>
      </x:c>
      <x:c r="U78" s="33" t="str">
        <x:f>IF(T78="Confirmada","Concluída",IF(I78="Cancelada","Cancelada",IF(L78="","Sem prazo",IF(L78&lt;TODAY(),"Prazo vencido","No prazo"))))</x:f>
        <x:v>Sem prazo</x:v>
      </x:c>
      <x:c r="V78" s="34"/>
    </x:row>
    <x:row r="79" ht="62" customHeight="1">
      <x:c r="A79" s="33" t="str">
        <x:v>PACK-01-CRS-02</x:v>
      </x:c>
      <x:c r="B79" s="33" t="str">
        <x:v>AR-02</x:v>
      </x:c>
      <x:c r="C79" s="33" t="str">
        <x:v>OBJ-02</x:v>
      </x:c>
      <x:c r="D79" s="33" t="str">
        <x:v>Produzir carrossel 2 do PACK-01</x:v>
      </x:c>
      <x:c r="E79" s="33" t="str">
        <x:v>PNG/JPG ou PDF; 1080×1350; 6–10 páginas. Revisão e arquivo final registrados.</x:v>
      </x:c>
      <x:c r="F79" s="33" t="str">
        <x:v>PACK-01</x:v>
      </x:c>
      <x:c r="G79" s="33" t="str">
        <x:v>CRS</x:v>
      </x:c>
      <x:c r="H79" s="33" t="str">
        <x:v>Obrigatório</x:v>
      </x:c>
      <x:c r="I79" s="34" t="str">
        <x:v>A confirmar</x:v>
      </x:c>
      <x:c r="J79" s="34" t="str">
        <x:v>A definir</x:v>
      </x:c>
      <x:c r="K79" s="35"/>
      <x:c r="L79" s="35"/>
      <x:c r="M79" s="35"/>
      <x:c r="N79" s="33" t="str">
        <x:v>PACK-01-ART-01;PACK-01-VID-01</x:v>
      </x:c>
      <x:c r="O79" s="33" t="str"/>
      <x:c r="P79" s="33" t="str">
        <x:v>GTM-03;GTM-05</x:v>
      </x:c>
      <x:c r="Q79" s="33" t="str">
        <x:v>11.2;2.6</x:v>
      </x:c>
      <x:c r="R79" s="33" t="str">
        <x:v>Decomposição proposta</x:v>
      </x:c>
      <x:c r="S79" s="34"/>
      <x:c r="T79" s="33" t="str">
        <x:f>IF(I79="Concluída",IF(OR(S79="",M79=""),"Falta evidência/data","Confirmada"),"Não confirmada")</x:f>
        <x:v>Não confirmada</x:v>
      </x:c>
      <x:c r="U79" s="33" t="str">
        <x:f>IF(T79="Confirmada","Concluída",IF(I79="Cancelada","Cancelada",IF(L79="","Sem prazo",IF(L79&lt;TODAY(),"Prazo vencido","No prazo"))))</x:f>
        <x:v>Sem prazo</x:v>
      </x:c>
      <x:c r="V79" s="34"/>
    </x:row>
    <x:row r="80" ht="62" customHeight="1">
      <x:c r="A80" s="33" t="str">
        <x:v>PACK-01-CRS-03</x:v>
      </x:c>
      <x:c r="B80" s="33" t="str">
        <x:v>AR-02</x:v>
      </x:c>
      <x:c r="C80" s="33" t="str">
        <x:v>OBJ-02</x:v>
      </x:c>
      <x:c r="D80" s="33" t="str">
        <x:v>Produzir carrossel 3 do PACK-01</x:v>
      </x:c>
      <x:c r="E80" s="33" t="str">
        <x:v>PNG/JPG ou PDF; 1080×1350; 6–10 páginas. Revisão e arquivo final registrados.</x:v>
      </x:c>
      <x:c r="F80" s="33" t="str">
        <x:v>PACK-01</x:v>
      </x:c>
      <x:c r="G80" s="33" t="str">
        <x:v>CRS</x:v>
      </x:c>
      <x:c r="H80" s="33" t="str">
        <x:v>Obrigatório</x:v>
      </x:c>
      <x:c r="I80" s="34" t="str">
        <x:v>A confirmar</x:v>
      </x:c>
      <x:c r="J80" s="34" t="str">
        <x:v>A definir</x:v>
      </x:c>
      <x:c r="K80" s="35"/>
      <x:c r="L80" s="35"/>
      <x:c r="M80" s="35"/>
      <x:c r="N80" s="33" t="str">
        <x:v>PACK-01-ART-01;PACK-01-VID-01</x:v>
      </x:c>
      <x:c r="O80" s="33" t="str"/>
      <x:c r="P80" s="33" t="str">
        <x:v>GTM-03;GTM-05</x:v>
      </x:c>
      <x:c r="Q80" s="33" t="str">
        <x:v>11.2;2.6</x:v>
      </x:c>
      <x:c r="R80" s="33" t="str">
        <x:v>Decomposição proposta</x:v>
      </x:c>
      <x:c r="S80" s="34"/>
      <x:c r="T80" s="33" t="str">
        <x:f>IF(I80="Concluída",IF(OR(S80="",M80=""),"Falta evidência/data","Confirmada"),"Não confirmada")</x:f>
        <x:v>Não confirmada</x:v>
      </x:c>
      <x:c r="U80" s="33" t="str">
        <x:f>IF(T80="Confirmada","Concluída",IF(I80="Cancelada","Cancelada",IF(L80="","Sem prazo",IF(L80&lt;TODAY(),"Prazo vencido","No prazo"))))</x:f>
        <x:v>Sem prazo</x:v>
      </x:c>
      <x:c r="V80" s="34"/>
    </x:row>
    <x:row r="81" ht="62" customHeight="1">
      <x:c r="A81" s="33" t="str">
        <x:v>PACK-01-CRS-04</x:v>
      </x:c>
      <x:c r="B81" s="33" t="str">
        <x:v>AR-02</x:v>
      </x:c>
      <x:c r="C81" s="33" t="str">
        <x:v>OBJ-02</x:v>
      </x:c>
      <x:c r="D81" s="33" t="str">
        <x:v>Produzir carrossel 4 do PACK-01</x:v>
      </x:c>
      <x:c r="E81" s="33" t="str">
        <x:v>PNG/JPG ou PDF; 1080×1350; 6–10 páginas. Revisão e arquivo final registrados.</x:v>
      </x:c>
      <x:c r="F81" s="33" t="str">
        <x:v>PACK-01</x:v>
      </x:c>
      <x:c r="G81" s="33" t="str">
        <x:v>CRS</x:v>
      </x:c>
      <x:c r="H81" s="33" t="str">
        <x:v>Obrigatório</x:v>
      </x:c>
      <x:c r="I81" s="34" t="str">
        <x:v>A confirmar</x:v>
      </x:c>
      <x:c r="J81" s="34" t="str">
        <x:v>A definir</x:v>
      </x:c>
      <x:c r="K81" s="35"/>
      <x:c r="L81" s="35"/>
      <x:c r="M81" s="35"/>
      <x:c r="N81" s="33" t="str">
        <x:v>PACK-01-ART-01;PACK-01-VID-01</x:v>
      </x:c>
      <x:c r="O81" s="33" t="str"/>
      <x:c r="P81" s="33" t="str">
        <x:v>GTM-03;GTM-05</x:v>
      </x:c>
      <x:c r="Q81" s="33" t="str">
        <x:v>11.2;2.6</x:v>
      </x:c>
      <x:c r="R81" s="33" t="str">
        <x:v>Decomposição proposta</x:v>
      </x:c>
      <x:c r="S81" s="34"/>
      <x:c r="T81" s="33" t="str">
        <x:f>IF(I81="Concluída",IF(OR(S81="",M81=""),"Falta evidência/data","Confirmada"),"Não confirmada")</x:f>
        <x:v>Não confirmada</x:v>
      </x:c>
      <x:c r="U81" s="33" t="str">
        <x:f>IF(T81="Confirmada","Concluída",IF(I81="Cancelada","Cancelada",IF(L81="","Sem prazo",IF(L81&lt;TODAY(),"Prazo vencido","No prazo"))))</x:f>
        <x:v>Sem prazo</x:v>
      </x:c>
      <x:c r="V81" s="34"/>
    </x:row>
    <x:row r="82" ht="62" customHeight="1">
      <x:c r="A82" s="33" t="str">
        <x:v>PACK-01-CRS-05</x:v>
      </x:c>
      <x:c r="B82" s="33" t="str">
        <x:v>AR-02</x:v>
      </x:c>
      <x:c r="C82" s="33" t="str">
        <x:v>OBJ-02</x:v>
      </x:c>
      <x:c r="D82" s="33" t="str">
        <x:v>Produzir carrossel 5 do PACK-01</x:v>
      </x:c>
      <x:c r="E82" s="33" t="str">
        <x:v>PNG/JPG ou PDF; 1080×1350; 6–10 páginas. Revisão e arquivo final registrados.</x:v>
      </x:c>
      <x:c r="F82" s="33" t="str">
        <x:v>PACK-01</x:v>
      </x:c>
      <x:c r="G82" s="33" t="str">
        <x:v>CRS</x:v>
      </x:c>
      <x:c r="H82" s="33" t="str">
        <x:v>Obrigatório</x:v>
      </x:c>
      <x:c r="I82" s="34" t="str">
        <x:v>A confirmar</x:v>
      </x:c>
      <x:c r="J82" s="34" t="str">
        <x:v>A definir</x:v>
      </x:c>
      <x:c r="K82" s="35"/>
      <x:c r="L82" s="35"/>
      <x:c r="M82" s="35"/>
      <x:c r="N82" s="33" t="str">
        <x:v>PACK-01-ART-01;PACK-01-VID-01</x:v>
      </x:c>
      <x:c r="O82" s="33" t="str"/>
      <x:c r="P82" s="33" t="str">
        <x:v>GTM-03;GTM-05</x:v>
      </x:c>
      <x:c r="Q82" s="33" t="str">
        <x:v>11.2;2.6</x:v>
      </x:c>
      <x:c r="R82" s="33" t="str">
        <x:v>Decomposição proposta</x:v>
      </x:c>
      <x:c r="S82" s="34"/>
      <x:c r="T82" s="33" t="str">
        <x:f>IF(I82="Concluída",IF(OR(S82="",M82=""),"Falta evidência/data","Confirmada"),"Não confirmada")</x:f>
        <x:v>Não confirmada</x:v>
      </x:c>
      <x:c r="U82" s="33" t="str">
        <x:f>IF(T82="Confirmada","Concluída",IF(I82="Cancelada","Cancelada",IF(L82="","Sem prazo",IF(L82&lt;TODAY(),"Prazo vencido","No prazo"))))</x:f>
        <x:v>Sem prazo</x:v>
      </x:c>
      <x:c r="V82" s="34"/>
    </x:row>
    <x:row r="83" ht="62" customHeight="1">
      <x:c r="A83" s="33" t="str">
        <x:v>PACK-01-CRS-06</x:v>
      </x:c>
      <x:c r="B83" s="33" t="str">
        <x:v>AR-02</x:v>
      </x:c>
      <x:c r="C83" s="33" t="str">
        <x:v>OBJ-02</x:v>
      </x:c>
      <x:c r="D83" s="33" t="str">
        <x:v>Produzir carrossel 6 do PACK-01</x:v>
      </x:c>
      <x:c r="E83" s="33" t="str">
        <x:v>PNG/JPG ou PDF; 1080×1350; 6–10 páginas. Revisão e arquivo final registrados.</x:v>
      </x:c>
      <x:c r="F83" s="33" t="str">
        <x:v>PACK-01</x:v>
      </x:c>
      <x:c r="G83" s="33" t="str">
        <x:v>CRS</x:v>
      </x:c>
      <x:c r="H83" s="33" t="str">
        <x:v>Obrigatório</x:v>
      </x:c>
      <x:c r="I83" s="34" t="str">
        <x:v>A confirmar</x:v>
      </x:c>
      <x:c r="J83" s="34" t="str">
        <x:v>A definir</x:v>
      </x:c>
      <x:c r="K83" s="35"/>
      <x:c r="L83" s="35"/>
      <x:c r="M83" s="35"/>
      <x:c r="N83" s="33" t="str">
        <x:v>PACK-01-ART-01;PACK-01-VID-01</x:v>
      </x:c>
      <x:c r="O83" s="33" t="str"/>
      <x:c r="P83" s="33" t="str">
        <x:v>GTM-03;GTM-05</x:v>
      </x:c>
      <x:c r="Q83" s="33" t="str">
        <x:v>11.2;2.6</x:v>
      </x:c>
      <x:c r="R83" s="33" t="str">
        <x:v>Decomposição proposta</x:v>
      </x:c>
      <x:c r="S83" s="34"/>
      <x:c r="T83" s="33" t="str">
        <x:f>IF(I83="Concluída",IF(OR(S83="",M83=""),"Falta evidência/data","Confirmada"),"Não confirmada")</x:f>
        <x:v>Não confirmada</x:v>
      </x:c>
      <x:c r="U83" s="33" t="str">
        <x:f>IF(T83="Confirmada","Concluída",IF(I83="Cancelada","Cancelada",IF(L83="","Sem prazo",IF(L83&lt;TODAY(),"Prazo vencido","No prazo"))))</x:f>
        <x:v>Sem prazo</x:v>
      </x:c>
      <x:c r="V83" s="34"/>
    </x:row>
    <x:row r="84" ht="62" customHeight="1">
      <x:c r="A84" s="33" t="str">
        <x:v>PACK-01-IMG-01</x:v>
      </x:c>
      <x:c r="B84" s="33" t="str">
        <x:v>AR-02</x:v>
      </x:c>
      <x:c r="C84" s="33" t="str">
        <x:v>OBJ-02</x:v>
      </x:c>
      <x:c r="D84" s="33" t="str">
        <x:v>Produzir imagem estática 1 do PACK-01</x:v>
      </x:c>
      <x:c r="E84" s="33" t="str">
        <x:v>PNG/JPG; 1080×1350; alternativa 1080×1080. Revisão e arquivo final registrados.</x:v>
      </x:c>
      <x:c r="F84" s="33" t="str">
        <x:v>PACK-01</x:v>
      </x:c>
      <x:c r="G84" s="33" t="str">
        <x:v>IMG</x:v>
      </x:c>
      <x:c r="H84" s="33" t="str">
        <x:v>Obrigatório</x:v>
      </x:c>
      <x:c r="I84" s="34" t="str">
        <x:v>A confirmar</x:v>
      </x:c>
      <x:c r="J84" s="34" t="str">
        <x:v>A definir</x:v>
      </x:c>
      <x:c r="K84" s="35"/>
      <x:c r="L84" s="35"/>
      <x:c r="M84" s="35"/>
      <x:c r="N84" s="33" t="str">
        <x:v>PACK-01-ART-01;PACK-01-VID-01</x:v>
      </x:c>
      <x:c r="O84" s="33" t="str"/>
      <x:c r="P84" s="33" t="str">
        <x:v>GTM-03;GTM-05</x:v>
      </x:c>
      <x:c r="Q84" s="33" t="str">
        <x:v>11.2;2.6</x:v>
      </x:c>
      <x:c r="R84" s="33" t="str">
        <x:v>Decomposição proposta</x:v>
      </x:c>
      <x:c r="S84" s="34"/>
      <x:c r="T84" s="33" t="str">
        <x:f>IF(I84="Concluída",IF(OR(S84="",M84=""),"Falta evidência/data","Confirmada"),"Não confirmada")</x:f>
        <x:v>Não confirmada</x:v>
      </x:c>
      <x:c r="U84" s="33" t="str">
        <x:f>IF(T84="Confirmada","Concluída",IF(I84="Cancelada","Cancelada",IF(L84="","Sem prazo",IF(L84&lt;TODAY(),"Prazo vencido","No prazo"))))</x:f>
        <x:v>Sem prazo</x:v>
      </x:c>
      <x:c r="V84" s="34"/>
    </x:row>
    <x:row r="85" ht="62" customHeight="1">
      <x:c r="A85" s="33" t="str">
        <x:v>PACK-01-IMG-02</x:v>
      </x:c>
      <x:c r="B85" s="33" t="str">
        <x:v>AR-02</x:v>
      </x:c>
      <x:c r="C85" s="33" t="str">
        <x:v>OBJ-02</x:v>
      </x:c>
      <x:c r="D85" s="33" t="str">
        <x:v>Produzir imagem estática 2 do PACK-01</x:v>
      </x:c>
      <x:c r="E85" s="33" t="str">
        <x:v>PNG/JPG; 1080×1350; alternativa 1080×1080. Revisão e arquivo final registrados.</x:v>
      </x:c>
      <x:c r="F85" s="33" t="str">
        <x:v>PACK-01</x:v>
      </x:c>
      <x:c r="G85" s="33" t="str">
        <x:v>IMG</x:v>
      </x:c>
      <x:c r="H85" s="33" t="str">
        <x:v>Obrigatório</x:v>
      </x:c>
      <x:c r="I85" s="34" t="str">
        <x:v>A confirmar</x:v>
      </x:c>
      <x:c r="J85" s="34" t="str">
        <x:v>A definir</x:v>
      </x:c>
      <x:c r="K85" s="35"/>
      <x:c r="L85" s="35"/>
      <x:c r="M85" s="35"/>
      <x:c r="N85" s="33" t="str">
        <x:v>PACK-01-ART-01;PACK-01-VID-01</x:v>
      </x:c>
      <x:c r="O85" s="33" t="str"/>
      <x:c r="P85" s="33" t="str">
        <x:v>GTM-03;GTM-05</x:v>
      </x:c>
      <x:c r="Q85" s="33" t="str">
        <x:v>11.2;2.6</x:v>
      </x:c>
      <x:c r="R85" s="33" t="str">
        <x:v>Decomposição proposta</x:v>
      </x:c>
      <x:c r="S85" s="34"/>
      <x:c r="T85" s="33" t="str">
        <x:f>IF(I85="Concluída",IF(OR(S85="",M85=""),"Falta evidência/data","Confirmada"),"Não confirmada")</x:f>
        <x:v>Não confirmada</x:v>
      </x:c>
      <x:c r="U85" s="33" t="str">
        <x:f>IF(T85="Confirmada","Concluída",IF(I85="Cancelada","Cancelada",IF(L85="","Sem prazo",IF(L85&lt;TODAY(),"Prazo vencido","No prazo"))))</x:f>
        <x:v>Sem prazo</x:v>
      </x:c>
      <x:c r="V85" s="34"/>
    </x:row>
    <x:row r="86" ht="62" customHeight="1">
      <x:c r="A86" s="33" t="str">
        <x:v>PACK-01-IMG-03</x:v>
      </x:c>
      <x:c r="B86" s="33" t="str">
        <x:v>AR-02</x:v>
      </x:c>
      <x:c r="C86" s="33" t="str">
        <x:v>OBJ-02</x:v>
      </x:c>
      <x:c r="D86" s="33" t="str">
        <x:v>Produzir imagem estática 3 do PACK-01</x:v>
      </x:c>
      <x:c r="E86" s="33" t="str">
        <x:v>PNG/JPG; 1080×1350; alternativa 1080×1080. Revisão e arquivo final registrados.</x:v>
      </x:c>
      <x:c r="F86" s="33" t="str">
        <x:v>PACK-01</x:v>
      </x:c>
      <x:c r="G86" s="33" t="str">
        <x:v>IMG</x:v>
      </x:c>
      <x:c r="H86" s="33" t="str">
        <x:v>Obrigatório</x:v>
      </x:c>
      <x:c r="I86" s="34" t="str">
        <x:v>A confirmar</x:v>
      </x:c>
      <x:c r="J86" s="34" t="str">
        <x:v>A definir</x:v>
      </x:c>
      <x:c r="K86" s="35"/>
      <x:c r="L86" s="35"/>
      <x:c r="M86" s="35"/>
      <x:c r="N86" s="33" t="str">
        <x:v>PACK-01-ART-01;PACK-01-VID-01</x:v>
      </x:c>
      <x:c r="O86" s="33" t="str"/>
      <x:c r="P86" s="33" t="str">
        <x:v>GTM-03;GTM-05</x:v>
      </x:c>
      <x:c r="Q86" s="33" t="str">
        <x:v>11.2;2.6</x:v>
      </x:c>
      <x:c r="R86" s="33" t="str">
        <x:v>Decomposição proposta</x:v>
      </x:c>
      <x:c r="S86" s="34"/>
      <x:c r="T86" s="33" t="str">
        <x:f>IF(I86="Concluída",IF(OR(S86="",M86=""),"Falta evidência/data","Confirmada"),"Não confirmada")</x:f>
        <x:v>Não confirmada</x:v>
      </x:c>
      <x:c r="U86" s="33" t="str">
        <x:f>IF(T86="Confirmada","Concluída",IF(I86="Cancelada","Cancelada",IF(L86="","Sem prazo",IF(L86&lt;TODAY(),"Prazo vencido","No prazo"))))</x:f>
        <x:v>Sem prazo</x:v>
      </x:c>
      <x:c r="V86" s="34"/>
    </x:row>
    <x:row r="87" ht="62" customHeight="1">
      <x:c r="A87" s="33" t="str">
        <x:v>PACK-01-IMG-04</x:v>
      </x:c>
      <x:c r="B87" s="33" t="str">
        <x:v>AR-02</x:v>
      </x:c>
      <x:c r="C87" s="33" t="str">
        <x:v>OBJ-02</x:v>
      </x:c>
      <x:c r="D87" s="33" t="str">
        <x:v>Produzir imagem estática 4 do PACK-01</x:v>
      </x:c>
      <x:c r="E87" s="33" t="str">
        <x:v>PNG/JPG; 1080×1350; alternativa 1080×1080. Revisão e arquivo final registrados.</x:v>
      </x:c>
      <x:c r="F87" s="33" t="str">
        <x:v>PACK-01</x:v>
      </x:c>
      <x:c r="G87" s="33" t="str">
        <x:v>IMG</x:v>
      </x:c>
      <x:c r="H87" s="33" t="str">
        <x:v>Obrigatório</x:v>
      </x:c>
      <x:c r="I87" s="34" t="str">
        <x:v>A confirmar</x:v>
      </x:c>
      <x:c r="J87" s="34" t="str">
        <x:v>A definir</x:v>
      </x:c>
      <x:c r="K87" s="35"/>
      <x:c r="L87" s="35"/>
      <x:c r="M87" s="35"/>
      <x:c r="N87" s="33" t="str">
        <x:v>PACK-01-ART-01;PACK-01-VID-01</x:v>
      </x:c>
      <x:c r="O87" s="33" t="str"/>
      <x:c r="P87" s="33" t="str">
        <x:v>GTM-03;GTM-05</x:v>
      </x:c>
      <x:c r="Q87" s="33" t="str">
        <x:v>11.2;2.6</x:v>
      </x:c>
      <x:c r="R87" s="33" t="str">
        <x:v>Decomposição proposta</x:v>
      </x:c>
      <x:c r="S87" s="34"/>
      <x:c r="T87" s="33" t="str">
        <x:f>IF(I87="Concluída",IF(OR(S87="",M87=""),"Falta evidência/data","Confirmada"),"Não confirmada")</x:f>
        <x:v>Não confirmada</x:v>
      </x:c>
      <x:c r="U87" s="33" t="str">
        <x:f>IF(T87="Confirmada","Concluída",IF(I87="Cancelada","Cancelada",IF(L87="","Sem prazo",IF(L87&lt;TODAY(),"Prazo vencido","No prazo"))))</x:f>
        <x:v>Sem prazo</x:v>
      </x:c>
      <x:c r="V87" s="34"/>
    </x:row>
    <x:row r="88" ht="62" customHeight="1">
      <x:c r="A88" s="33" t="str">
        <x:v>PACK-01-IMG-05</x:v>
      </x:c>
      <x:c r="B88" s="33" t="str">
        <x:v>AR-02</x:v>
      </x:c>
      <x:c r="C88" s="33" t="str">
        <x:v>OBJ-02</x:v>
      </x:c>
      <x:c r="D88" s="33" t="str">
        <x:v>Produzir imagem estática 5 do PACK-01</x:v>
      </x:c>
      <x:c r="E88" s="33" t="str">
        <x:v>PNG/JPG; 1080×1350; alternativa 1080×1080. Revisão e arquivo final registrados.</x:v>
      </x:c>
      <x:c r="F88" s="33" t="str">
        <x:v>PACK-01</x:v>
      </x:c>
      <x:c r="G88" s="33" t="str">
        <x:v>IMG</x:v>
      </x:c>
      <x:c r="H88" s="33" t="str">
        <x:v>Obrigatório</x:v>
      </x:c>
      <x:c r="I88" s="34" t="str">
        <x:v>A confirmar</x:v>
      </x:c>
      <x:c r="J88" s="34" t="str">
        <x:v>A definir</x:v>
      </x:c>
      <x:c r="K88" s="35"/>
      <x:c r="L88" s="35"/>
      <x:c r="M88" s="35"/>
      <x:c r="N88" s="33" t="str">
        <x:v>PACK-01-ART-01;PACK-01-VID-01</x:v>
      </x:c>
      <x:c r="O88" s="33" t="str"/>
      <x:c r="P88" s="33" t="str">
        <x:v>GTM-03;GTM-05</x:v>
      </x:c>
      <x:c r="Q88" s="33" t="str">
        <x:v>11.2;2.6</x:v>
      </x:c>
      <x:c r="R88" s="33" t="str">
        <x:v>Decomposição proposta</x:v>
      </x:c>
      <x:c r="S88" s="34"/>
      <x:c r="T88" s="33" t="str">
        <x:f>IF(I88="Concluída",IF(OR(S88="",M88=""),"Falta evidência/data","Confirmada"),"Não confirmada")</x:f>
        <x:v>Não confirmada</x:v>
      </x:c>
      <x:c r="U88" s="33" t="str">
        <x:f>IF(T88="Confirmada","Concluída",IF(I88="Cancelada","Cancelada",IF(L88="","Sem prazo",IF(L88&lt;TODAY(),"Prazo vencido","No prazo"))))</x:f>
        <x:v>Sem prazo</x:v>
      </x:c>
      <x:c r="V88" s="34"/>
    </x:row>
    <x:row r="89" ht="62" customHeight="1">
      <x:c r="A89" s="33" t="str">
        <x:v>PACK-01-IMG-06</x:v>
      </x:c>
      <x:c r="B89" s="33" t="str">
        <x:v>AR-02</x:v>
      </x:c>
      <x:c r="C89" s="33" t="str">
        <x:v>OBJ-02</x:v>
      </x:c>
      <x:c r="D89" s="33" t="str">
        <x:v>Produzir imagem estática 6 do PACK-01</x:v>
      </x:c>
      <x:c r="E89" s="33" t="str">
        <x:v>PNG/JPG; 1080×1350; alternativa 1080×1080. Revisão e arquivo final registrados.</x:v>
      </x:c>
      <x:c r="F89" s="33" t="str">
        <x:v>PACK-01</x:v>
      </x:c>
      <x:c r="G89" s="33" t="str">
        <x:v>IMG</x:v>
      </x:c>
      <x:c r="H89" s="33" t="str">
        <x:v>Obrigatório</x:v>
      </x:c>
      <x:c r="I89" s="34" t="str">
        <x:v>A confirmar</x:v>
      </x:c>
      <x:c r="J89" s="34" t="str">
        <x:v>A definir</x:v>
      </x:c>
      <x:c r="K89" s="35"/>
      <x:c r="L89" s="35"/>
      <x:c r="M89" s="35"/>
      <x:c r="N89" s="33" t="str">
        <x:v>PACK-01-ART-01;PACK-01-VID-01</x:v>
      </x:c>
      <x:c r="O89" s="33" t="str"/>
      <x:c r="P89" s="33" t="str">
        <x:v>GTM-03;GTM-05</x:v>
      </x:c>
      <x:c r="Q89" s="33" t="str">
        <x:v>11.2;2.6</x:v>
      </x:c>
      <x:c r="R89" s="33" t="str">
        <x:v>Decomposição proposta</x:v>
      </x:c>
      <x:c r="S89" s="34"/>
      <x:c r="T89" s="33" t="str">
        <x:f>IF(I89="Concluída",IF(OR(S89="",M89=""),"Falta evidência/data","Confirmada"),"Não confirmada")</x:f>
        <x:v>Não confirmada</x:v>
      </x:c>
      <x:c r="U89" s="33" t="str">
        <x:f>IF(T89="Confirmada","Concluída",IF(I89="Cancelada","Cancelada",IF(L89="","Sem prazo",IF(L89&lt;TODAY(),"Prazo vencido","No prazo"))))</x:f>
        <x:v>Sem prazo</x:v>
      </x:c>
      <x:c r="V89" s="34"/>
    </x:row>
    <x:row r="90" ht="62" customHeight="1">
      <x:c r="A90" s="33" t="str">
        <x:v>PACK-01-INF-01</x:v>
      </x:c>
      <x:c r="B90" s="33" t="str">
        <x:v>AR-02</x:v>
      </x:c>
      <x:c r="C90" s="33" t="str">
        <x:v>OBJ-02</x:v>
      </x:c>
      <x:c r="D90" s="33" t="str">
        <x:v>Produzir infográfico 1 do PACK-01</x:v>
      </x:c>
      <x:c r="E90" s="33" t="str">
        <x:v>PNG/SVG; 1920×1080; processo, mapa ou framework. Revisão e arquivo final registrados.</x:v>
      </x:c>
      <x:c r="F90" s="33" t="str">
        <x:v>PACK-01</x:v>
      </x:c>
      <x:c r="G90" s="33" t="str">
        <x:v>INF</x:v>
      </x:c>
      <x:c r="H90" s="33" t="str">
        <x:v>Obrigatório</x:v>
      </x:c>
      <x:c r="I90" s="34" t="str">
        <x:v>A confirmar</x:v>
      </x:c>
      <x:c r="J90" s="34" t="str">
        <x:v>A definir</x:v>
      </x:c>
      <x:c r="K90" s="35"/>
      <x:c r="L90" s="35"/>
      <x:c r="M90" s="35"/>
      <x:c r="N90" s="33" t="str">
        <x:v>PACK-01-ART-01;PACK-01-VID-01</x:v>
      </x:c>
      <x:c r="O90" s="33" t="str"/>
      <x:c r="P90" s="33" t="str">
        <x:v>GTM-03;GTM-05</x:v>
      </x:c>
      <x:c r="Q90" s="33" t="str">
        <x:v>11.2;2.6</x:v>
      </x:c>
      <x:c r="R90" s="33" t="str">
        <x:v>Decomposição proposta</x:v>
      </x:c>
      <x:c r="S90" s="34"/>
      <x:c r="T90" s="33" t="str">
        <x:f>IF(I90="Concluída",IF(OR(S90="",M90=""),"Falta evidência/data","Confirmada"),"Não confirmada")</x:f>
        <x:v>Não confirmada</x:v>
      </x:c>
      <x:c r="U90" s="33" t="str">
        <x:f>IF(T90="Confirmada","Concluída",IF(I90="Cancelada","Cancelada",IF(L90="","Sem prazo",IF(L90&lt;TODAY(),"Prazo vencido","No prazo"))))</x:f>
        <x:v>Sem prazo</x:v>
      </x:c>
      <x:c r="V90" s="34"/>
    </x:row>
    <x:row r="91" ht="62" customHeight="1">
      <x:c r="A91" s="33" t="str">
        <x:v>PACK-01-INF-02</x:v>
      </x:c>
      <x:c r="B91" s="33" t="str">
        <x:v>AR-02</x:v>
      </x:c>
      <x:c r="C91" s="33" t="str">
        <x:v>OBJ-02</x:v>
      </x:c>
      <x:c r="D91" s="33" t="str">
        <x:v>Produzir infográfico 2 do PACK-01</x:v>
      </x:c>
      <x:c r="E91" s="33" t="str">
        <x:v>PNG/SVG; 1920×1080; processo, mapa ou framework. Revisão e arquivo final registrados.</x:v>
      </x:c>
      <x:c r="F91" s="33" t="str">
        <x:v>PACK-01</x:v>
      </x:c>
      <x:c r="G91" s="33" t="str">
        <x:v>INF</x:v>
      </x:c>
      <x:c r="H91" s="33" t="str">
        <x:v>Obrigatório</x:v>
      </x:c>
      <x:c r="I91" s="34" t="str">
        <x:v>A confirmar</x:v>
      </x:c>
      <x:c r="J91" s="34" t="str">
        <x:v>A definir</x:v>
      </x:c>
      <x:c r="K91" s="35"/>
      <x:c r="L91" s="35"/>
      <x:c r="M91" s="35"/>
      <x:c r="N91" s="33" t="str">
        <x:v>PACK-01-ART-01;PACK-01-VID-01</x:v>
      </x:c>
      <x:c r="O91" s="33" t="str"/>
      <x:c r="P91" s="33" t="str">
        <x:v>GTM-03;GTM-05</x:v>
      </x:c>
      <x:c r="Q91" s="33" t="str">
        <x:v>11.2;2.6</x:v>
      </x:c>
      <x:c r="R91" s="33" t="str">
        <x:v>Decomposição proposta</x:v>
      </x:c>
      <x:c r="S91" s="34"/>
      <x:c r="T91" s="33" t="str">
        <x:f>IF(I91="Concluída",IF(OR(S91="",M91=""),"Falta evidência/data","Confirmada"),"Não confirmada")</x:f>
        <x:v>Não confirmada</x:v>
      </x:c>
      <x:c r="U91" s="33" t="str">
        <x:f>IF(T91="Confirmada","Concluída",IF(I91="Cancelada","Cancelada",IF(L91="","Sem prazo",IF(L91&lt;TODAY(),"Prazo vencido","No prazo"))))</x:f>
        <x:v>Sem prazo</x:v>
      </x:c>
      <x:c r="V91" s="34"/>
    </x:row>
    <x:row r="92" ht="62" customHeight="1">
      <x:c r="A92" s="33" t="str">
        <x:v>PACK-01-INF-03</x:v>
      </x:c>
      <x:c r="B92" s="33" t="str">
        <x:v>AR-02</x:v>
      </x:c>
      <x:c r="C92" s="33" t="str">
        <x:v>OBJ-02</x:v>
      </x:c>
      <x:c r="D92" s="33" t="str">
        <x:v>Produzir infográfico 3 do PACK-01</x:v>
      </x:c>
      <x:c r="E92" s="33" t="str">
        <x:v>PNG/SVG; 1920×1080; processo, mapa ou framework. Revisão e arquivo final registrados.</x:v>
      </x:c>
      <x:c r="F92" s="33" t="str">
        <x:v>PACK-01</x:v>
      </x:c>
      <x:c r="G92" s="33" t="str">
        <x:v>INF</x:v>
      </x:c>
      <x:c r="H92" s="33" t="str">
        <x:v>Obrigatório</x:v>
      </x:c>
      <x:c r="I92" s="34" t="str">
        <x:v>A confirmar</x:v>
      </x:c>
      <x:c r="J92" s="34" t="str">
        <x:v>A definir</x:v>
      </x:c>
      <x:c r="K92" s="35"/>
      <x:c r="L92" s="35"/>
      <x:c r="M92" s="35"/>
      <x:c r="N92" s="33" t="str">
        <x:v>PACK-01-ART-01;PACK-01-VID-01</x:v>
      </x:c>
      <x:c r="O92" s="33" t="str"/>
      <x:c r="P92" s="33" t="str">
        <x:v>GTM-03;GTM-05</x:v>
      </x:c>
      <x:c r="Q92" s="33" t="str">
        <x:v>11.2;2.6</x:v>
      </x:c>
      <x:c r="R92" s="33" t="str">
        <x:v>Decomposição proposta</x:v>
      </x:c>
      <x:c r="S92" s="34"/>
      <x:c r="T92" s="33" t="str">
        <x:f>IF(I92="Concluída",IF(OR(S92="",M92=""),"Falta evidência/data","Confirmada"),"Não confirmada")</x:f>
        <x:v>Não confirmada</x:v>
      </x:c>
      <x:c r="U92" s="33" t="str">
        <x:f>IF(T92="Confirmada","Concluída",IF(I92="Cancelada","Cancelada",IF(L92="","Sem prazo",IF(L92&lt;TODAY(),"Prazo vencido","No prazo"))))</x:f>
        <x:v>Sem prazo</x:v>
      </x:c>
      <x:c r="V92" s="34"/>
    </x:row>
    <x:row r="93" ht="62" customHeight="1">
      <x:c r="A93" s="33" t="str">
        <x:v>PACK-01-STR-01</x:v>
      </x:c>
      <x:c r="B93" s="33" t="str">
        <x:v>AR-02</x:v>
      </x:c>
      <x:c r="C93" s="33" t="str">
        <x:v>OBJ-02</x:v>
      </x:c>
      <x:c r="D93" s="33" t="str">
        <x:v>Produzir story 1 do PACK-01</x:v>
      </x:c>
      <x:c r="E93" s="33" t="str">
        <x:v>Imagem/vídeo; 1080×1920; sequência modular. Revisão e arquivo final registrados.</x:v>
      </x:c>
      <x:c r="F93" s="33" t="str">
        <x:v>PACK-01</x:v>
      </x:c>
      <x:c r="G93" s="33" t="str">
        <x:v>STR</x:v>
      </x:c>
      <x:c r="H93" s="33" t="str">
        <x:v>Obrigatório</x:v>
      </x:c>
      <x:c r="I93" s="34" t="str">
        <x:v>A confirmar</x:v>
      </x:c>
      <x:c r="J93" s="34" t="str">
        <x:v>A definir</x:v>
      </x:c>
      <x:c r="K93" s="35"/>
      <x:c r="L93" s="35"/>
      <x:c r="M93" s="35"/>
      <x:c r="N93" s="33" t="str">
        <x:v>PACK-01-ART-01;PACK-01-VID-01</x:v>
      </x:c>
      <x:c r="O93" s="33" t="str"/>
      <x:c r="P93" s="33" t="str">
        <x:v>GTM-03;GTM-05</x:v>
      </x:c>
      <x:c r="Q93" s="33" t="str">
        <x:v>11.2;2.6</x:v>
      </x:c>
      <x:c r="R93" s="33" t="str">
        <x:v>Decomposição proposta</x:v>
      </x:c>
      <x:c r="S93" s="34"/>
      <x:c r="T93" s="33" t="str">
        <x:f>IF(I93="Concluída",IF(OR(S93="",M93=""),"Falta evidência/data","Confirmada"),"Não confirmada")</x:f>
        <x:v>Não confirmada</x:v>
      </x:c>
      <x:c r="U93" s="33" t="str">
        <x:f>IF(T93="Confirmada","Concluída",IF(I93="Cancelada","Cancelada",IF(L93="","Sem prazo",IF(L93&lt;TODAY(),"Prazo vencido","No prazo"))))</x:f>
        <x:v>Sem prazo</x:v>
      </x:c>
      <x:c r="V93" s="34"/>
    </x:row>
    <x:row r="94" ht="62" customHeight="1">
      <x:c r="A94" s="33" t="str">
        <x:v>PACK-01-STR-02</x:v>
      </x:c>
      <x:c r="B94" s="33" t="str">
        <x:v>AR-02</x:v>
      </x:c>
      <x:c r="C94" s="33" t="str">
        <x:v>OBJ-02</x:v>
      </x:c>
      <x:c r="D94" s="33" t="str">
        <x:v>Produzir story 2 do PACK-01</x:v>
      </x:c>
      <x:c r="E94" s="33" t="str">
        <x:v>Imagem/vídeo; 1080×1920; sequência modular. Revisão e arquivo final registrados.</x:v>
      </x:c>
      <x:c r="F94" s="33" t="str">
        <x:v>PACK-01</x:v>
      </x:c>
      <x:c r="G94" s="33" t="str">
        <x:v>STR</x:v>
      </x:c>
      <x:c r="H94" s="33" t="str">
        <x:v>Obrigatório</x:v>
      </x:c>
      <x:c r="I94" s="34" t="str">
        <x:v>A confirmar</x:v>
      </x:c>
      <x:c r="J94" s="34" t="str">
        <x:v>A definir</x:v>
      </x:c>
      <x:c r="K94" s="35"/>
      <x:c r="L94" s="35"/>
      <x:c r="M94" s="35"/>
      <x:c r="N94" s="33" t="str">
        <x:v>PACK-01-ART-01;PACK-01-VID-01</x:v>
      </x:c>
      <x:c r="O94" s="33" t="str"/>
      <x:c r="P94" s="33" t="str">
        <x:v>GTM-03;GTM-05</x:v>
      </x:c>
      <x:c r="Q94" s="33" t="str">
        <x:v>11.2;2.6</x:v>
      </x:c>
      <x:c r="R94" s="33" t="str">
        <x:v>Decomposição proposta</x:v>
      </x:c>
      <x:c r="S94" s="34"/>
      <x:c r="T94" s="33" t="str">
        <x:f>IF(I94="Concluída",IF(OR(S94="",M94=""),"Falta evidência/data","Confirmada"),"Não confirmada")</x:f>
        <x:v>Não confirmada</x:v>
      </x:c>
      <x:c r="U94" s="33" t="str">
        <x:f>IF(T94="Confirmada","Concluída",IF(I94="Cancelada","Cancelada",IF(L94="","Sem prazo",IF(L94&lt;TODAY(),"Prazo vencido","No prazo"))))</x:f>
        <x:v>Sem prazo</x:v>
      </x:c>
      <x:c r="V94" s="34"/>
    </x:row>
    <x:row r="95" ht="62" customHeight="1">
      <x:c r="A95" s="33" t="str">
        <x:v>PACK-01-STR-03</x:v>
      </x:c>
      <x:c r="B95" s="33" t="str">
        <x:v>AR-02</x:v>
      </x:c>
      <x:c r="C95" s="33" t="str">
        <x:v>OBJ-02</x:v>
      </x:c>
      <x:c r="D95" s="33" t="str">
        <x:v>Produzir story 3 do PACK-01</x:v>
      </x:c>
      <x:c r="E95" s="33" t="str">
        <x:v>Imagem/vídeo; 1080×1920; sequência modular. Revisão e arquivo final registrados.</x:v>
      </x:c>
      <x:c r="F95" s="33" t="str">
        <x:v>PACK-01</x:v>
      </x:c>
      <x:c r="G95" s="33" t="str">
        <x:v>STR</x:v>
      </x:c>
      <x:c r="H95" s="33" t="str">
        <x:v>Obrigatório</x:v>
      </x:c>
      <x:c r="I95" s="34" t="str">
        <x:v>A confirmar</x:v>
      </x:c>
      <x:c r="J95" s="34" t="str">
        <x:v>A definir</x:v>
      </x:c>
      <x:c r="K95" s="35"/>
      <x:c r="L95" s="35"/>
      <x:c r="M95" s="35"/>
      <x:c r="N95" s="33" t="str">
        <x:v>PACK-01-ART-01;PACK-01-VID-01</x:v>
      </x:c>
      <x:c r="O95" s="33" t="str"/>
      <x:c r="P95" s="33" t="str">
        <x:v>GTM-03;GTM-05</x:v>
      </x:c>
      <x:c r="Q95" s="33" t="str">
        <x:v>11.2;2.6</x:v>
      </x:c>
      <x:c r="R95" s="33" t="str">
        <x:v>Decomposição proposta</x:v>
      </x:c>
      <x:c r="S95" s="34"/>
      <x:c r="T95" s="33" t="str">
        <x:f>IF(I95="Concluída",IF(OR(S95="",M95=""),"Falta evidência/data","Confirmada"),"Não confirmada")</x:f>
        <x:v>Não confirmada</x:v>
      </x:c>
      <x:c r="U95" s="33" t="str">
        <x:f>IF(T95="Confirmada","Concluída",IF(I95="Cancelada","Cancelada",IF(L95="","Sem prazo",IF(L95&lt;TODAY(),"Prazo vencido","No prazo"))))</x:f>
        <x:v>Sem prazo</x:v>
      </x:c>
      <x:c r="V95" s="34"/>
    </x:row>
    <x:row r="96" ht="62" customHeight="1">
      <x:c r="A96" s="33" t="str">
        <x:v>PACK-01-STR-04</x:v>
      </x:c>
      <x:c r="B96" s="33" t="str">
        <x:v>AR-02</x:v>
      </x:c>
      <x:c r="C96" s="33" t="str">
        <x:v>OBJ-02</x:v>
      </x:c>
      <x:c r="D96" s="33" t="str">
        <x:v>Produzir story 4 do PACK-01</x:v>
      </x:c>
      <x:c r="E96" s="33" t="str">
        <x:v>Imagem/vídeo; 1080×1920; sequência modular. Revisão e arquivo final registrados.</x:v>
      </x:c>
      <x:c r="F96" s="33" t="str">
        <x:v>PACK-01</x:v>
      </x:c>
      <x:c r="G96" s="33" t="str">
        <x:v>STR</x:v>
      </x:c>
      <x:c r="H96" s="33" t="str">
        <x:v>Obrigatório</x:v>
      </x:c>
      <x:c r="I96" s="34" t="str">
        <x:v>A confirmar</x:v>
      </x:c>
      <x:c r="J96" s="34" t="str">
        <x:v>A definir</x:v>
      </x:c>
      <x:c r="K96" s="35"/>
      <x:c r="L96" s="35"/>
      <x:c r="M96" s="35"/>
      <x:c r="N96" s="33" t="str">
        <x:v>PACK-01-ART-01;PACK-01-VID-01</x:v>
      </x:c>
      <x:c r="O96" s="33" t="str"/>
      <x:c r="P96" s="33" t="str">
        <x:v>GTM-03;GTM-05</x:v>
      </x:c>
      <x:c r="Q96" s="33" t="str">
        <x:v>11.2;2.6</x:v>
      </x:c>
      <x:c r="R96" s="33" t="str">
        <x:v>Decomposição proposta</x:v>
      </x:c>
      <x:c r="S96" s="34"/>
      <x:c r="T96" s="33" t="str">
        <x:f>IF(I96="Concluída",IF(OR(S96="",M96=""),"Falta evidência/data","Confirmada"),"Não confirmada")</x:f>
        <x:v>Não confirmada</x:v>
      </x:c>
      <x:c r="U96" s="33" t="str">
        <x:f>IF(T96="Confirmada","Concluída",IF(I96="Cancelada","Cancelada",IF(L96="","Sem prazo",IF(L96&lt;TODAY(),"Prazo vencido","No prazo"))))</x:f>
        <x:v>Sem prazo</x:v>
      </x:c>
      <x:c r="V96" s="34"/>
    </x:row>
    <x:row r="97" ht="62" customHeight="1">
      <x:c r="A97" s="33" t="str">
        <x:v>PACK-01-STR-05</x:v>
      </x:c>
      <x:c r="B97" s="33" t="str">
        <x:v>AR-02</x:v>
      </x:c>
      <x:c r="C97" s="33" t="str">
        <x:v>OBJ-02</x:v>
      </x:c>
      <x:c r="D97" s="33" t="str">
        <x:v>Produzir story 5 do PACK-01</x:v>
      </x:c>
      <x:c r="E97" s="33" t="str">
        <x:v>Imagem/vídeo; 1080×1920; sequência modular. Revisão e arquivo final registrados.</x:v>
      </x:c>
      <x:c r="F97" s="33" t="str">
        <x:v>PACK-01</x:v>
      </x:c>
      <x:c r="G97" s="33" t="str">
        <x:v>STR</x:v>
      </x:c>
      <x:c r="H97" s="33" t="str">
        <x:v>Obrigatório</x:v>
      </x:c>
      <x:c r="I97" s="34" t="str">
        <x:v>A confirmar</x:v>
      </x:c>
      <x:c r="J97" s="34" t="str">
        <x:v>A definir</x:v>
      </x:c>
      <x:c r="K97" s="35"/>
      <x:c r="L97" s="35"/>
      <x:c r="M97" s="35"/>
      <x:c r="N97" s="33" t="str">
        <x:v>PACK-01-ART-01;PACK-01-VID-01</x:v>
      </x:c>
      <x:c r="O97" s="33" t="str"/>
      <x:c r="P97" s="33" t="str">
        <x:v>GTM-03;GTM-05</x:v>
      </x:c>
      <x:c r="Q97" s="33" t="str">
        <x:v>11.2;2.6</x:v>
      </x:c>
      <x:c r="R97" s="33" t="str">
        <x:v>Decomposição proposta</x:v>
      </x:c>
      <x:c r="S97" s="34"/>
      <x:c r="T97" s="33" t="str">
        <x:f>IF(I97="Concluída",IF(OR(S97="",M97=""),"Falta evidência/data","Confirmada"),"Não confirmada")</x:f>
        <x:v>Não confirmada</x:v>
      </x:c>
      <x:c r="U97" s="33" t="str">
        <x:f>IF(T97="Confirmada","Concluída",IF(I97="Cancelada","Cancelada",IF(L97="","Sem prazo",IF(L97&lt;TODAY(),"Prazo vencido","No prazo"))))</x:f>
        <x:v>Sem prazo</x:v>
      </x:c>
      <x:c r="V97" s="34"/>
    </x:row>
    <x:row r="98" ht="62" customHeight="1">
      <x:c r="A98" s="33" t="str">
        <x:v>PACK-01-STR-06</x:v>
      </x:c>
      <x:c r="B98" s="33" t="str">
        <x:v>AR-02</x:v>
      </x:c>
      <x:c r="C98" s="33" t="str">
        <x:v>OBJ-02</x:v>
      </x:c>
      <x:c r="D98" s="33" t="str">
        <x:v>Produzir story 6 do PACK-01</x:v>
      </x:c>
      <x:c r="E98" s="33" t="str">
        <x:v>Imagem/vídeo; 1080×1920; sequência modular. Revisão e arquivo final registrados.</x:v>
      </x:c>
      <x:c r="F98" s="33" t="str">
        <x:v>PACK-01</x:v>
      </x:c>
      <x:c r="G98" s="33" t="str">
        <x:v>STR</x:v>
      </x:c>
      <x:c r="H98" s="33" t="str">
        <x:v>Obrigatório</x:v>
      </x:c>
      <x:c r="I98" s="34" t="str">
        <x:v>A confirmar</x:v>
      </x:c>
      <x:c r="J98" s="34" t="str">
        <x:v>A definir</x:v>
      </x:c>
      <x:c r="K98" s="35"/>
      <x:c r="L98" s="35"/>
      <x:c r="M98" s="35"/>
      <x:c r="N98" s="33" t="str">
        <x:v>PACK-01-ART-01;PACK-01-VID-01</x:v>
      </x:c>
      <x:c r="O98" s="33" t="str"/>
      <x:c r="P98" s="33" t="str">
        <x:v>GTM-03;GTM-05</x:v>
      </x:c>
      <x:c r="Q98" s="33" t="str">
        <x:v>11.2;2.6</x:v>
      </x:c>
      <x:c r="R98" s="33" t="str">
        <x:v>Decomposição proposta</x:v>
      </x:c>
      <x:c r="S98" s="34"/>
      <x:c r="T98" s="33" t="str">
        <x:f>IF(I98="Concluída",IF(OR(S98="",M98=""),"Falta evidência/data","Confirmada"),"Não confirmada")</x:f>
        <x:v>Não confirmada</x:v>
      </x:c>
      <x:c r="U98" s="33" t="str">
        <x:f>IF(T98="Confirmada","Concluída",IF(I98="Cancelada","Cancelada",IF(L98="","Sem prazo",IF(L98&lt;TODAY(),"Prazo vencido","No prazo"))))</x:f>
        <x:v>Sem prazo</x:v>
      </x:c>
      <x:c r="V98" s="34"/>
    </x:row>
    <x:row r="99" ht="62" customHeight="1">
      <x:c r="A99" s="33" t="str">
        <x:v>PACK-01-STR-07</x:v>
      </x:c>
      <x:c r="B99" s="33" t="str">
        <x:v>AR-02</x:v>
      </x:c>
      <x:c r="C99" s="33" t="str">
        <x:v>OBJ-02</x:v>
      </x:c>
      <x:c r="D99" s="33" t="str">
        <x:v>Produzir story 7 do PACK-01</x:v>
      </x:c>
      <x:c r="E99" s="33" t="str">
        <x:v>Imagem/vídeo; 1080×1920; sequência modular. Revisão e arquivo final registrados.</x:v>
      </x:c>
      <x:c r="F99" s="33" t="str">
        <x:v>PACK-01</x:v>
      </x:c>
      <x:c r="G99" s="33" t="str">
        <x:v>STR</x:v>
      </x:c>
      <x:c r="H99" s="33" t="str">
        <x:v>Obrigatório</x:v>
      </x:c>
      <x:c r="I99" s="34" t="str">
        <x:v>A confirmar</x:v>
      </x:c>
      <x:c r="J99" s="34" t="str">
        <x:v>A definir</x:v>
      </x:c>
      <x:c r="K99" s="35"/>
      <x:c r="L99" s="35"/>
      <x:c r="M99" s="35"/>
      <x:c r="N99" s="33" t="str">
        <x:v>PACK-01-ART-01;PACK-01-VID-01</x:v>
      </x:c>
      <x:c r="O99" s="33" t="str"/>
      <x:c r="P99" s="33" t="str">
        <x:v>GTM-03;GTM-05</x:v>
      </x:c>
      <x:c r="Q99" s="33" t="str">
        <x:v>11.2;2.6</x:v>
      </x:c>
      <x:c r="R99" s="33" t="str">
        <x:v>Decomposição proposta</x:v>
      </x:c>
      <x:c r="S99" s="34"/>
      <x:c r="T99" s="33" t="str">
        <x:f>IF(I99="Concluída",IF(OR(S99="",M99=""),"Falta evidência/data","Confirmada"),"Não confirmada")</x:f>
        <x:v>Não confirmada</x:v>
      </x:c>
      <x:c r="U99" s="33" t="str">
        <x:f>IF(T99="Confirmada","Concluída",IF(I99="Cancelada","Cancelada",IF(L99="","Sem prazo",IF(L99&lt;TODAY(),"Prazo vencido","No prazo"))))</x:f>
        <x:v>Sem prazo</x:v>
      </x:c>
      <x:c r="V99" s="34"/>
    </x:row>
    <x:row r="100" ht="62" customHeight="1">
      <x:c r="A100" s="33" t="str">
        <x:v>PACK-01-STR-08</x:v>
      </x:c>
      <x:c r="B100" s="33" t="str">
        <x:v>AR-02</x:v>
      </x:c>
      <x:c r="C100" s="33" t="str">
        <x:v>OBJ-02</x:v>
      </x:c>
      <x:c r="D100" s="33" t="str">
        <x:v>Produzir story 8 do PACK-01</x:v>
      </x:c>
      <x:c r="E100" s="33" t="str">
        <x:v>Imagem/vídeo; 1080×1920; sequência modular. Revisão e arquivo final registrados.</x:v>
      </x:c>
      <x:c r="F100" s="33" t="str">
        <x:v>PACK-01</x:v>
      </x:c>
      <x:c r="G100" s="33" t="str">
        <x:v>STR</x:v>
      </x:c>
      <x:c r="H100" s="33" t="str">
        <x:v>Obrigatório</x:v>
      </x:c>
      <x:c r="I100" s="34" t="str">
        <x:v>A confirmar</x:v>
      </x:c>
      <x:c r="J100" s="34" t="str">
        <x:v>A definir</x:v>
      </x:c>
      <x:c r="K100" s="35"/>
      <x:c r="L100" s="35"/>
      <x:c r="M100" s="35"/>
      <x:c r="N100" s="33" t="str">
        <x:v>PACK-01-ART-01;PACK-01-VID-01</x:v>
      </x:c>
      <x:c r="O100" s="33" t="str"/>
      <x:c r="P100" s="33" t="str">
        <x:v>GTM-03;GTM-05</x:v>
      </x:c>
      <x:c r="Q100" s="33" t="str">
        <x:v>11.2;2.6</x:v>
      </x:c>
      <x:c r="R100" s="33" t="str">
        <x:v>Decomposição proposta</x:v>
      </x:c>
      <x:c r="S100" s="34"/>
      <x:c r="T100" s="33" t="str">
        <x:f>IF(I100="Concluída",IF(OR(S100="",M100=""),"Falta evidência/data","Confirmada"),"Não confirmada")</x:f>
        <x:v>Não confirmada</x:v>
      </x:c>
      <x:c r="U100" s="33" t="str">
        <x:f>IF(T100="Confirmada","Concluída",IF(I100="Cancelada","Cancelada",IF(L100="","Sem prazo",IF(L100&lt;TODAY(),"Prazo vencido","No prazo"))))</x:f>
        <x:v>Sem prazo</x:v>
      </x:c>
      <x:c r="V100" s="34"/>
    </x:row>
    <x:row r="101" ht="62" customHeight="1">
      <x:c r="A101" s="33" t="str">
        <x:v>PACK-01-STR-09</x:v>
      </x:c>
      <x:c r="B101" s="33" t="str">
        <x:v>AR-02</x:v>
      </x:c>
      <x:c r="C101" s="33" t="str">
        <x:v>OBJ-02</x:v>
      </x:c>
      <x:c r="D101" s="33" t="str">
        <x:v>Produzir story 9 do PACK-01</x:v>
      </x:c>
      <x:c r="E101" s="33" t="str">
        <x:v>Imagem/vídeo; 1080×1920; sequência modular. Revisão e arquivo final registrados.</x:v>
      </x:c>
      <x:c r="F101" s="33" t="str">
        <x:v>PACK-01</x:v>
      </x:c>
      <x:c r="G101" s="33" t="str">
        <x:v>STR</x:v>
      </x:c>
      <x:c r="H101" s="33" t="str">
        <x:v>Obrigatório</x:v>
      </x:c>
      <x:c r="I101" s="34" t="str">
        <x:v>A confirmar</x:v>
      </x:c>
      <x:c r="J101" s="34" t="str">
        <x:v>A definir</x:v>
      </x:c>
      <x:c r="K101" s="35"/>
      <x:c r="L101" s="35"/>
      <x:c r="M101" s="35"/>
      <x:c r="N101" s="33" t="str">
        <x:v>PACK-01-ART-01;PACK-01-VID-01</x:v>
      </x:c>
      <x:c r="O101" s="33" t="str"/>
      <x:c r="P101" s="33" t="str">
        <x:v>GTM-03;GTM-05</x:v>
      </x:c>
      <x:c r="Q101" s="33" t="str">
        <x:v>11.2;2.6</x:v>
      </x:c>
      <x:c r="R101" s="33" t="str">
        <x:v>Decomposição proposta</x:v>
      </x:c>
      <x:c r="S101" s="34"/>
      <x:c r="T101" s="33" t="str">
        <x:f>IF(I101="Concluída",IF(OR(S101="",M101=""),"Falta evidência/data","Confirmada"),"Não confirmada")</x:f>
        <x:v>Não confirmada</x:v>
      </x:c>
      <x:c r="U101" s="33" t="str">
        <x:f>IF(T101="Confirmada","Concluída",IF(I101="Cancelada","Cancelada",IF(L101="","Sem prazo",IF(L101&lt;TODAY(),"Prazo vencido","No prazo"))))</x:f>
        <x:v>Sem prazo</x:v>
      </x:c>
      <x:c r="V101" s="34"/>
    </x:row>
    <x:row r="102" ht="62" customHeight="1">
      <x:c r="A102" s="33" t="str">
        <x:v>PACK-01-STR-10</x:v>
      </x:c>
      <x:c r="B102" s="33" t="str">
        <x:v>AR-02</x:v>
      </x:c>
      <x:c r="C102" s="33" t="str">
        <x:v>OBJ-02</x:v>
      </x:c>
      <x:c r="D102" s="33" t="str">
        <x:v>Produzir story 10 do PACK-01</x:v>
      </x:c>
      <x:c r="E102" s="33" t="str">
        <x:v>Imagem/vídeo; 1080×1920; sequência modular. Revisão e arquivo final registrados.</x:v>
      </x:c>
      <x:c r="F102" s="33" t="str">
        <x:v>PACK-01</x:v>
      </x:c>
      <x:c r="G102" s="33" t="str">
        <x:v>STR</x:v>
      </x:c>
      <x:c r="H102" s="33" t="str">
        <x:v>Obrigatório</x:v>
      </x:c>
      <x:c r="I102" s="34" t="str">
        <x:v>A confirmar</x:v>
      </x:c>
      <x:c r="J102" s="34" t="str">
        <x:v>A definir</x:v>
      </x:c>
      <x:c r="K102" s="35"/>
      <x:c r="L102" s="35"/>
      <x:c r="M102" s="35"/>
      <x:c r="N102" s="33" t="str">
        <x:v>PACK-01-ART-01;PACK-01-VID-01</x:v>
      </x:c>
      <x:c r="O102" s="33" t="str"/>
      <x:c r="P102" s="33" t="str">
        <x:v>GTM-03;GTM-05</x:v>
      </x:c>
      <x:c r="Q102" s="33" t="str">
        <x:v>11.2;2.6</x:v>
      </x:c>
      <x:c r="R102" s="33" t="str">
        <x:v>Decomposição proposta</x:v>
      </x:c>
      <x:c r="S102" s="34"/>
      <x:c r="T102" s="33" t="str">
        <x:f>IF(I102="Concluída",IF(OR(S102="",M102=""),"Falta evidência/data","Confirmada"),"Não confirmada")</x:f>
        <x:v>Não confirmada</x:v>
      </x:c>
      <x:c r="U102" s="33" t="str">
        <x:f>IF(T102="Confirmada","Concluída",IF(I102="Cancelada","Cancelada",IF(L102="","Sem prazo",IF(L102&lt;TODAY(),"Prazo vencido","No prazo"))))</x:f>
        <x:v>Sem prazo</x:v>
      </x:c>
      <x:c r="V102" s="34"/>
    </x:row>
    <x:row r="103" ht="62" customHeight="1">
      <x:c r="A103" s="33" t="str">
        <x:v>PACK-01-STR-11</x:v>
      </x:c>
      <x:c r="B103" s="33" t="str">
        <x:v>AR-02</x:v>
      </x:c>
      <x:c r="C103" s="33" t="str">
        <x:v>OBJ-02</x:v>
      </x:c>
      <x:c r="D103" s="33" t="str">
        <x:v>Produzir story 11 do PACK-01</x:v>
      </x:c>
      <x:c r="E103" s="33" t="str">
        <x:v>Imagem/vídeo; 1080×1920; sequência modular. Revisão e arquivo final registrados.</x:v>
      </x:c>
      <x:c r="F103" s="33" t="str">
        <x:v>PACK-01</x:v>
      </x:c>
      <x:c r="G103" s="33" t="str">
        <x:v>STR</x:v>
      </x:c>
      <x:c r="H103" s="33" t="str">
        <x:v>Opcional</x:v>
      </x:c>
      <x:c r="I103" s="34" t="str">
        <x:v>A confirmar</x:v>
      </x:c>
      <x:c r="J103" s="34" t="str">
        <x:v>A definir</x:v>
      </x:c>
      <x:c r="K103" s="35"/>
      <x:c r="L103" s="35"/>
      <x:c r="M103" s="35"/>
      <x:c r="N103" s="33" t="str">
        <x:v>PACK-01-ART-01;PACK-01-VID-01</x:v>
      </x:c>
      <x:c r="O103" s="33" t="str"/>
      <x:c r="P103" s="33" t="str">
        <x:v>GTM-03;GTM-05</x:v>
      </x:c>
      <x:c r="Q103" s="33" t="str">
        <x:v>11.2;2.6</x:v>
      </x:c>
      <x:c r="R103" s="33" t="str">
        <x:v>Decomposição proposta</x:v>
      </x:c>
      <x:c r="S103" s="34"/>
      <x:c r="T103" s="33" t="str">
        <x:f>IF(I103="Concluída",IF(OR(S103="",M103=""),"Falta evidência/data","Confirmada"),"Não confirmada")</x:f>
        <x:v>Não confirmada</x:v>
      </x:c>
      <x:c r="U103" s="33" t="str">
        <x:f>IF(T103="Confirmada","Concluída",IF(I103="Cancelada","Cancelada",IF(L103="","Sem prazo",IF(L103&lt;TODAY(),"Prazo vencido","No prazo"))))</x:f>
        <x:v>Sem prazo</x:v>
      </x:c>
      <x:c r="V103" s="34"/>
    </x:row>
    <x:row r="104" ht="62" customHeight="1">
      <x:c r="A104" s="33" t="str">
        <x:v>PACK-01-STR-12</x:v>
      </x:c>
      <x:c r="B104" s="33" t="str">
        <x:v>AR-02</x:v>
      </x:c>
      <x:c r="C104" s="33" t="str">
        <x:v>OBJ-02</x:v>
      </x:c>
      <x:c r="D104" s="33" t="str">
        <x:v>Produzir story 12 do PACK-01</x:v>
      </x:c>
      <x:c r="E104" s="33" t="str">
        <x:v>Imagem/vídeo; 1080×1920; sequência modular. Revisão e arquivo final registrados.</x:v>
      </x:c>
      <x:c r="F104" s="33" t="str">
        <x:v>PACK-01</x:v>
      </x:c>
      <x:c r="G104" s="33" t="str">
        <x:v>STR</x:v>
      </x:c>
      <x:c r="H104" s="33" t="str">
        <x:v>Opcional</x:v>
      </x:c>
      <x:c r="I104" s="34" t="str">
        <x:v>A confirmar</x:v>
      </x:c>
      <x:c r="J104" s="34" t="str">
        <x:v>A definir</x:v>
      </x:c>
      <x:c r="K104" s="35"/>
      <x:c r="L104" s="35"/>
      <x:c r="M104" s="35"/>
      <x:c r="N104" s="33" t="str">
        <x:v>PACK-01-ART-01;PACK-01-VID-01</x:v>
      </x:c>
      <x:c r="O104" s="33" t="str"/>
      <x:c r="P104" s="33" t="str">
        <x:v>GTM-03;GTM-05</x:v>
      </x:c>
      <x:c r="Q104" s="33" t="str">
        <x:v>11.2;2.6</x:v>
      </x:c>
      <x:c r="R104" s="33" t="str">
        <x:v>Decomposição proposta</x:v>
      </x:c>
      <x:c r="S104" s="34"/>
      <x:c r="T104" s="33" t="str">
        <x:f>IF(I104="Concluída",IF(OR(S104="",M104=""),"Falta evidência/data","Confirmada"),"Não confirmada")</x:f>
        <x:v>Não confirmada</x:v>
      </x:c>
      <x:c r="U104" s="33" t="str">
        <x:f>IF(T104="Confirmada","Concluída",IF(I104="Cancelada","Cancelada",IF(L104="","Sem prazo",IF(L104&lt;TODAY(),"Prazo vencido","No prazo"))))</x:f>
        <x:v>Sem prazo</x:v>
      </x:c>
      <x:c r="V104" s="34"/>
    </x:row>
    <x:row r="105" ht="62" customHeight="1">
      <x:c r="A105" s="33" t="str">
        <x:v>PACK-01-NWL-01</x:v>
      </x:c>
      <x:c r="B105" s="33" t="str">
        <x:v>AR-02</x:v>
      </x:c>
      <x:c r="C105" s="33" t="str">
        <x:v>OBJ-02</x:v>
      </x:c>
      <x:c r="D105" s="33" t="str">
        <x:v>Produzir newsletter 1 do PACK-01</x:v>
      </x:c>
      <x:c r="E105" s="33" t="str">
        <x:v>HTML responsivo; aprendizado, aplicação e CTA. Revisão e arquivo final registrados.</x:v>
      </x:c>
      <x:c r="F105" s="33" t="str">
        <x:v>PACK-01</x:v>
      </x:c>
      <x:c r="G105" s="33" t="str">
        <x:v>NWL</x:v>
      </x:c>
      <x:c r="H105" s="33" t="str">
        <x:v>Obrigatório</x:v>
      </x:c>
      <x:c r="I105" s="34" t="str">
        <x:v>A confirmar</x:v>
      </x:c>
      <x:c r="J105" s="34" t="str">
        <x:v>A definir</x:v>
      </x:c>
      <x:c r="K105" s="35"/>
      <x:c r="L105" s="35"/>
      <x:c r="M105" s="35"/>
      <x:c r="N105" s="33" t="str">
        <x:v>PACK-01-ART-01;PACK-01-VID-01</x:v>
      </x:c>
      <x:c r="O105" s="33" t="str"/>
      <x:c r="P105" s="33" t="str">
        <x:v>GTM-03;GTM-05</x:v>
      </x:c>
      <x:c r="Q105" s="33" t="str">
        <x:v>11.2;2.6</x:v>
      </x:c>
      <x:c r="R105" s="33" t="str">
        <x:v>Decomposição proposta</x:v>
      </x:c>
      <x:c r="S105" s="34"/>
      <x:c r="T105" s="33" t="str">
        <x:f>IF(I105="Concluída",IF(OR(S105="",M105=""),"Falta evidência/data","Confirmada"),"Não confirmada")</x:f>
        <x:v>Não confirmada</x:v>
      </x:c>
      <x:c r="U105" s="33" t="str">
        <x:f>IF(T105="Confirmada","Concluída",IF(I105="Cancelada","Cancelada",IF(L105="","Sem prazo",IF(L105&lt;TODAY(),"Prazo vencido","No prazo"))))</x:f>
        <x:v>Sem prazo</x:v>
      </x:c>
      <x:c r="V105" s="34"/>
    </x:row>
    <x:row r="106" ht="62" customHeight="1">
      <x:c r="A106" s="33" t="str">
        <x:v>PACK-01-NWL-02</x:v>
      </x:c>
      <x:c r="B106" s="33" t="str">
        <x:v>AR-02</x:v>
      </x:c>
      <x:c r="C106" s="33" t="str">
        <x:v>OBJ-02</x:v>
      </x:c>
      <x:c r="D106" s="33" t="str">
        <x:v>Produzir newsletter 2 do PACK-01</x:v>
      </x:c>
      <x:c r="E106" s="33" t="str">
        <x:v>HTML responsivo; aprendizado, aplicação e CTA. Revisão e arquivo final registrados.</x:v>
      </x:c>
      <x:c r="F106" s="33" t="str">
        <x:v>PACK-01</x:v>
      </x:c>
      <x:c r="G106" s="33" t="str">
        <x:v>NWL</x:v>
      </x:c>
      <x:c r="H106" s="33" t="str">
        <x:v>Obrigatório</x:v>
      </x:c>
      <x:c r="I106" s="34" t="str">
        <x:v>A confirmar</x:v>
      </x:c>
      <x:c r="J106" s="34" t="str">
        <x:v>A definir</x:v>
      </x:c>
      <x:c r="K106" s="35"/>
      <x:c r="L106" s="35"/>
      <x:c r="M106" s="35"/>
      <x:c r="N106" s="33" t="str">
        <x:v>PACK-01-ART-01;PACK-01-VID-01</x:v>
      </x:c>
      <x:c r="O106" s="33" t="str"/>
      <x:c r="P106" s="33" t="str">
        <x:v>GTM-03;GTM-05</x:v>
      </x:c>
      <x:c r="Q106" s="33" t="str">
        <x:v>11.2;2.6</x:v>
      </x:c>
      <x:c r="R106" s="33" t="str">
        <x:v>Decomposição proposta</x:v>
      </x:c>
      <x:c r="S106" s="34"/>
      <x:c r="T106" s="33" t="str">
        <x:f>IF(I106="Concluída",IF(OR(S106="",M106=""),"Falta evidência/data","Confirmada"),"Não confirmada")</x:f>
        <x:v>Não confirmada</x:v>
      </x:c>
      <x:c r="U106" s="33" t="str">
        <x:f>IF(T106="Confirmada","Concluída",IF(I106="Cancelada","Cancelada",IF(L106="","Sem prazo",IF(L106&lt;TODAY(),"Prazo vencido","No prazo"))))</x:f>
        <x:v>Sem prazo</x:v>
      </x:c>
      <x:c r="V106" s="34"/>
    </x:row>
    <x:row r="107" ht="62" customHeight="1">
      <x:c r="A107" s="33" t="str">
        <x:v>PACK-01-NWL-03</x:v>
      </x:c>
      <x:c r="B107" s="33" t="str">
        <x:v>AR-02</x:v>
      </x:c>
      <x:c r="C107" s="33" t="str">
        <x:v>OBJ-02</x:v>
      </x:c>
      <x:c r="D107" s="33" t="str">
        <x:v>Produzir newsletter 3 do PACK-01</x:v>
      </x:c>
      <x:c r="E107" s="33" t="str">
        <x:v>HTML responsivo; aprendizado, aplicação e CTA. Revisão e arquivo final registrados.</x:v>
      </x:c>
      <x:c r="F107" s="33" t="str">
        <x:v>PACK-01</x:v>
      </x:c>
      <x:c r="G107" s="33" t="str">
        <x:v>NWL</x:v>
      </x:c>
      <x:c r="H107" s="33" t="str">
        <x:v>Obrigatório</x:v>
      </x:c>
      <x:c r="I107" s="34" t="str">
        <x:v>A confirmar</x:v>
      </x:c>
      <x:c r="J107" s="34" t="str">
        <x:v>A definir</x:v>
      </x:c>
      <x:c r="K107" s="35"/>
      <x:c r="L107" s="35"/>
      <x:c r="M107" s="35"/>
      <x:c r="N107" s="33" t="str">
        <x:v>PACK-01-ART-01;PACK-01-VID-01</x:v>
      </x:c>
      <x:c r="O107" s="33" t="str"/>
      <x:c r="P107" s="33" t="str">
        <x:v>GTM-03;GTM-05</x:v>
      </x:c>
      <x:c r="Q107" s="33" t="str">
        <x:v>11.2;2.6</x:v>
      </x:c>
      <x:c r="R107" s="33" t="str">
        <x:v>Decomposição proposta</x:v>
      </x:c>
      <x:c r="S107" s="34"/>
      <x:c r="T107" s="33" t="str">
        <x:f>IF(I107="Concluída",IF(OR(S107="",M107=""),"Falta evidência/data","Confirmada"),"Não confirmada")</x:f>
        <x:v>Não confirmada</x:v>
      </x:c>
      <x:c r="U107" s="33" t="str">
        <x:f>IF(T107="Confirmada","Concluída",IF(I107="Cancelada","Cancelada",IF(L107="","Sem prazo",IF(L107&lt;TODAY(),"Prazo vencido","No prazo"))))</x:f>
        <x:v>Sem prazo</x:v>
      </x:c>
      <x:c r="V107" s="34"/>
    </x:row>
    <x:row r="108" ht="62" customHeight="1">
      <x:c r="A108" s="33" t="str">
        <x:v>PACK-01-EBK-01</x:v>
      </x:c>
      <x:c r="B108" s="33" t="str">
        <x:v>AR-02</x:v>
      </x:c>
      <x:c r="C108" s="33" t="str">
        <x:v>OBJ-02</x:v>
      </x:c>
      <x:c r="D108" s="33" t="str">
        <x:v>Produzir ebook 1 do PACK-01</x:v>
      </x:c>
      <x:c r="E108" s="33" t="str">
        <x:v>PDF A4; framework, exercício/template e CTA. Revisão e arquivo final registrados.</x:v>
      </x:c>
      <x:c r="F108" s="33" t="str">
        <x:v>PACK-01</x:v>
      </x:c>
      <x:c r="G108" s="33" t="str">
        <x:v>EBK</x:v>
      </x:c>
      <x:c r="H108" s="33" t="str">
        <x:v>Obrigatório</x:v>
      </x:c>
      <x:c r="I108" s="34" t="str">
        <x:v>A confirmar</x:v>
      </x:c>
      <x:c r="J108" s="34" t="str">
        <x:v>A definir</x:v>
      </x:c>
      <x:c r="K108" s="35"/>
      <x:c r="L108" s="35"/>
      <x:c r="M108" s="35"/>
      <x:c r="N108" s="33" t="str">
        <x:v>PACK-01-ART-01;PACK-01-VID-01</x:v>
      </x:c>
      <x:c r="O108" s="33" t="str"/>
      <x:c r="P108" s="33" t="str">
        <x:v>GTM-03;GTM-05</x:v>
      </x:c>
      <x:c r="Q108" s="33" t="str">
        <x:v>11.2;2.6</x:v>
      </x:c>
      <x:c r="R108" s="33" t="str">
        <x:v>Decomposição proposta</x:v>
      </x:c>
      <x:c r="S108" s="34"/>
      <x:c r="T108" s="33" t="str">
        <x:f>IF(I108="Concluída",IF(OR(S108="",M108=""),"Falta evidência/data","Confirmada"),"Não confirmada")</x:f>
        <x:v>Não confirmada</x:v>
      </x:c>
      <x:c r="U108" s="33" t="str">
        <x:f>IF(T108="Confirmada","Concluída",IF(I108="Cancelada","Cancelada",IF(L108="","Sem prazo",IF(L108&lt;TODAY(),"Prazo vencido","No prazo"))))</x:f>
        <x:v>Sem prazo</x:v>
      </x:c>
      <x:c r="V108" s="34"/>
    </x:row>
    <x:row r="109" ht="62" customHeight="1">
      <x:c r="A109" s="33" t="str">
        <x:v>PACK-01-EBK-02</x:v>
      </x:c>
      <x:c r="B109" s="33" t="str">
        <x:v>AR-02</x:v>
      </x:c>
      <x:c r="C109" s="33" t="str">
        <x:v>OBJ-02</x:v>
      </x:c>
      <x:c r="D109" s="33" t="str">
        <x:v>Produzir ebook 2 do PACK-01</x:v>
      </x:c>
      <x:c r="E109" s="33" t="str">
        <x:v>PDF A4; framework, exercício/template e CTA. Revisão e arquivo final registrados.</x:v>
      </x:c>
      <x:c r="F109" s="33" t="str">
        <x:v>PACK-01</x:v>
      </x:c>
      <x:c r="G109" s="33" t="str">
        <x:v>EBK</x:v>
      </x:c>
      <x:c r="H109" s="33" t="str">
        <x:v>Obrigatório</x:v>
      </x:c>
      <x:c r="I109" s="34" t="str">
        <x:v>A confirmar</x:v>
      </x:c>
      <x:c r="J109" s="34" t="str">
        <x:v>A definir</x:v>
      </x:c>
      <x:c r="K109" s="35"/>
      <x:c r="L109" s="35"/>
      <x:c r="M109" s="35"/>
      <x:c r="N109" s="33" t="str">
        <x:v>PACK-01-ART-01;PACK-01-VID-01</x:v>
      </x:c>
      <x:c r="O109" s="33" t="str"/>
      <x:c r="P109" s="33" t="str">
        <x:v>GTM-03;GTM-05</x:v>
      </x:c>
      <x:c r="Q109" s="33" t="str">
        <x:v>11.2;2.6</x:v>
      </x:c>
      <x:c r="R109" s="33" t="str">
        <x:v>Decomposição proposta</x:v>
      </x:c>
      <x:c r="S109" s="34"/>
      <x:c r="T109" s="33" t="str">
        <x:f>IF(I109="Concluída",IF(OR(S109="",M109=""),"Falta evidência/data","Confirmada"),"Não confirmada")</x:f>
        <x:v>Não confirmada</x:v>
      </x:c>
      <x:c r="U109" s="33" t="str">
        <x:f>IF(T109="Confirmada","Concluída",IF(I109="Cancelada","Cancelada",IF(L109="","Sem prazo",IF(L109&lt;TODAY(),"Prazo vencido","No prazo"))))</x:f>
        <x:v>Sem prazo</x:v>
      </x:c>
      <x:c r="V109" s="34"/>
    </x:row>
    <x:row r="110" ht="62" customHeight="1">
      <x:c r="A110" s="33" t="str">
        <x:v>PACK-01-EBK-03</x:v>
      </x:c>
      <x:c r="B110" s="33" t="str">
        <x:v>AR-02</x:v>
      </x:c>
      <x:c r="C110" s="33" t="str">
        <x:v>OBJ-02</x:v>
      </x:c>
      <x:c r="D110" s="33" t="str">
        <x:v>Produzir ebook 3 do PACK-01</x:v>
      </x:c>
      <x:c r="E110" s="33" t="str">
        <x:v>PDF A4; framework, exercício/template e CTA. Revisão e arquivo final registrados.</x:v>
      </x:c>
      <x:c r="F110" s="33" t="str">
        <x:v>PACK-01</x:v>
      </x:c>
      <x:c r="G110" s="33" t="str">
        <x:v>EBK</x:v>
      </x:c>
      <x:c r="H110" s="33" t="str">
        <x:v>Obrigatório</x:v>
      </x:c>
      <x:c r="I110" s="34" t="str">
        <x:v>A confirmar</x:v>
      </x:c>
      <x:c r="J110" s="34" t="str">
        <x:v>A definir</x:v>
      </x:c>
      <x:c r="K110" s="35"/>
      <x:c r="L110" s="35"/>
      <x:c r="M110" s="35"/>
      <x:c r="N110" s="33" t="str">
        <x:v>PACK-01-ART-01;PACK-01-VID-01</x:v>
      </x:c>
      <x:c r="O110" s="33" t="str"/>
      <x:c r="P110" s="33" t="str">
        <x:v>GTM-03;GTM-05</x:v>
      </x:c>
      <x:c r="Q110" s="33" t="str">
        <x:v>11.2;2.6</x:v>
      </x:c>
      <x:c r="R110" s="33" t="str">
        <x:v>Decomposição proposta</x:v>
      </x:c>
      <x:c r="S110" s="34"/>
      <x:c r="T110" s="33" t="str">
        <x:f>IF(I110="Concluída",IF(OR(S110="",M110=""),"Falta evidência/data","Confirmada"),"Não confirmada")</x:f>
        <x:v>Não confirmada</x:v>
      </x:c>
      <x:c r="U110" s="33" t="str">
        <x:f>IF(T110="Confirmada","Concluída",IF(I110="Cancelada","Cancelada",IF(L110="","Sem prazo",IF(L110&lt;TODAY(),"Prazo vencido","No prazo"))))</x:f>
        <x:v>Sem prazo</x:v>
      </x:c>
      <x:c r="V110" s="34"/>
    </x:row>
    <x:row r="111" ht="62" customHeight="1">
      <x:c r="A111" s="33" t="str">
        <x:v>PACK-01-CTA-01</x:v>
      </x:c>
      <x:c r="B111" s="33" t="str">
        <x:v>AR-02</x:v>
      </x:c>
      <x:c r="C111" s="33" t="str">
        <x:v>OBJ-02</x:v>
      </x:c>
      <x:c r="D111" s="33" t="str">
        <x:v>Produzir cta de ferramenta 1 do PACK-01</x:v>
      </x:c>
      <x:c r="E111" s="33" t="str">
        <x:v>Uma ação principal; benefício, destino e evento mensurável. Revisão e arquivo final registrados.</x:v>
      </x:c>
      <x:c r="F111" s="33" t="str">
        <x:v>PACK-01</x:v>
      </x:c>
      <x:c r="G111" s="33" t="str">
        <x:v>CTA</x:v>
      </x:c>
      <x:c r="H111" s="33" t="str">
        <x:v>Obrigatório</x:v>
      </x:c>
      <x:c r="I111" s="34" t="str">
        <x:v>A confirmar</x:v>
      </x:c>
      <x:c r="J111" s="34" t="str">
        <x:v>A definir</x:v>
      </x:c>
      <x:c r="K111" s="35"/>
      <x:c r="L111" s="35"/>
      <x:c r="M111" s="35"/>
      <x:c r="N111" s="33" t="str">
        <x:v>PACK-01-ART-01;PACK-01-VID-01;DST-05</x:v>
      </x:c>
      <x:c r="O111" s="33" t="str"/>
      <x:c r="P111" s="33" t="str">
        <x:v>GTM-03;GTM-05</x:v>
      </x:c>
      <x:c r="Q111" s="33" t="str">
        <x:v>11.2;2.6</x:v>
      </x:c>
      <x:c r="R111" s="33" t="str">
        <x:v>Decomposição proposta</x:v>
      </x:c>
      <x:c r="S111" s="34"/>
      <x:c r="T111" s="33" t="str">
        <x:f>IF(I111="Concluída",IF(OR(S111="",M111=""),"Falta evidência/data","Confirmada"),"Não confirmada")</x:f>
        <x:v>Não confirmada</x:v>
      </x:c>
      <x:c r="U111" s="33" t="str">
        <x:f>IF(T111="Confirmada","Concluída",IF(I111="Cancelada","Cancelada",IF(L111="","Sem prazo",IF(L111&lt;TODAY(),"Prazo vencido","No prazo"))))</x:f>
        <x:v>Sem prazo</x:v>
      </x:c>
      <x:c r="V111" s="34"/>
    </x:row>
    <x:row r="112" ht="62" customHeight="1">
      <x:c r="A112" s="33" t="str">
        <x:v>PACK-01-CTA-02</x:v>
      </x:c>
      <x:c r="B112" s="33" t="str">
        <x:v>AR-02</x:v>
      </x:c>
      <x:c r="C112" s="33" t="str">
        <x:v>OBJ-02</x:v>
      </x:c>
      <x:c r="D112" s="33" t="str">
        <x:v>Produzir cta de ferramenta 2 do PACK-01</x:v>
      </x:c>
      <x:c r="E112" s="33" t="str">
        <x:v>Uma ação principal; benefício, destino e evento mensurável. Revisão e arquivo final registrados.</x:v>
      </x:c>
      <x:c r="F112" s="33" t="str">
        <x:v>PACK-01</x:v>
      </x:c>
      <x:c r="G112" s="33" t="str">
        <x:v>CTA</x:v>
      </x:c>
      <x:c r="H112" s="33" t="str">
        <x:v>Obrigatório</x:v>
      </x:c>
      <x:c r="I112" s="34" t="str">
        <x:v>A confirmar</x:v>
      </x:c>
      <x:c r="J112" s="34" t="str">
        <x:v>A definir</x:v>
      </x:c>
      <x:c r="K112" s="35"/>
      <x:c r="L112" s="35"/>
      <x:c r="M112" s="35"/>
      <x:c r="N112" s="33" t="str">
        <x:v>PACK-01-ART-01;PACK-01-VID-01;DST-05</x:v>
      </x:c>
      <x:c r="O112" s="33" t="str"/>
      <x:c r="P112" s="33" t="str">
        <x:v>GTM-03;GTM-05</x:v>
      </x:c>
      <x:c r="Q112" s="33" t="str">
        <x:v>11.2;2.6</x:v>
      </x:c>
      <x:c r="R112" s="33" t="str">
        <x:v>Decomposição proposta</x:v>
      </x:c>
      <x:c r="S112" s="34"/>
      <x:c r="T112" s="33" t="str">
        <x:f>IF(I112="Concluída",IF(OR(S112="",M112=""),"Falta evidência/data","Confirmada"),"Não confirmada")</x:f>
        <x:v>Não confirmada</x:v>
      </x:c>
      <x:c r="U112" s="33" t="str">
        <x:f>IF(T112="Confirmada","Concluída",IF(I112="Cancelada","Cancelada",IF(L112="","Sem prazo",IF(L112&lt;TODAY(),"Prazo vencido","No prazo"))))</x:f>
        <x:v>Sem prazo</x:v>
      </x:c>
      <x:c r="V112" s="34"/>
    </x:row>
    <x:row r="113" ht="62" customHeight="1">
      <x:c r="A113" s="33" t="str">
        <x:v>PACK-01-CTA-03</x:v>
      </x:c>
      <x:c r="B113" s="33" t="str">
        <x:v>AR-02</x:v>
      </x:c>
      <x:c r="C113" s="33" t="str">
        <x:v>OBJ-02</x:v>
      </x:c>
      <x:c r="D113" s="33" t="str">
        <x:v>Produzir cta de ferramenta 3 do PACK-01</x:v>
      </x:c>
      <x:c r="E113" s="33" t="str">
        <x:v>Uma ação principal; benefício, destino e evento mensurável. Revisão e arquivo final registrados.</x:v>
      </x:c>
      <x:c r="F113" s="33" t="str">
        <x:v>PACK-01</x:v>
      </x:c>
      <x:c r="G113" s="33" t="str">
        <x:v>CTA</x:v>
      </x:c>
      <x:c r="H113" s="33" t="str">
        <x:v>Obrigatório</x:v>
      </x:c>
      <x:c r="I113" s="34" t="str">
        <x:v>A confirmar</x:v>
      </x:c>
      <x:c r="J113" s="34" t="str">
        <x:v>A definir</x:v>
      </x:c>
      <x:c r="K113" s="35"/>
      <x:c r="L113" s="35"/>
      <x:c r="M113" s="35"/>
      <x:c r="N113" s="33" t="str">
        <x:v>PACK-01-ART-01;PACK-01-VID-01;DST-05</x:v>
      </x:c>
      <x:c r="O113" s="33" t="str"/>
      <x:c r="P113" s="33" t="str">
        <x:v>GTM-03;GTM-05</x:v>
      </x:c>
      <x:c r="Q113" s="33" t="str">
        <x:v>11.2;2.6</x:v>
      </x:c>
      <x:c r="R113" s="33" t="str">
        <x:v>Decomposição proposta</x:v>
      </x:c>
      <x:c r="S113" s="34"/>
      <x:c r="T113" s="33" t="str">
        <x:f>IF(I113="Concluída",IF(OR(S113="",M113=""),"Falta evidência/data","Confirmada"),"Não confirmada")</x:f>
        <x:v>Não confirmada</x:v>
      </x:c>
      <x:c r="U113" s="33" t="str">
        <x:f>IF(T113="Confirmada","Concluída",IF(I113="Cancelada","Cancelada",IF(L113="","Sem prazo",IF(L113&lt;TODAY(),"Prazo vencido","No prazo"))))</x:f>
        <x:v>Sem prazo</x:v>
      </x:c>
      <x:c r="V113" s="34"/>
    </x:row>
    <x:row r="114" ht="62" customHeight="1">
      <x:c r="A114" s="33" t="str">
        <x:v>PACK-01-CTA-04</x:v>
      </x:c>
      <x:c r="B114" s="33" t="str">
        <x:v>AR-02</x:v>
      </x:c>
      <x:c r="C114" s="33" t="str">
        <x:v>OBJ-02</x:v>
      </x:c>
      <x:c r="D114" s="33" t="str">
        <x:v>Produzir cta de ferramenta 4 do PACK-01</x:v>
      </x:c>
      <x:c r="E114" s="33" t="str">
        <x:v>Uma ação principal; benefício, destino e evento mensurável. Revisão e arquivo final registrados.</x:v>
      </x:c>
      <x:c r="F114" s="33" t="str">
        <x:v>PACK-01</x:v>
      </x:c>
      <x:c r="G114" s="33" t="str">
        <x:v>CTA</x:v>
      </x:c>
      <x:c r="H114" s="33" t="str">
        <x:v>Obrigatório</x:v>
      </x:c>
      <x:c r="I114" s="34" t="str">
        <x:v>A confirmar</x:v>
      </x:c>
      <x:c r="J114" s="34" t="str">
        <x:v>A definir</x:v>
      </x:c>
      <x:c r="K114" s="35"/>
      <x:c r="L114" s="35"/>
      <x:c r="M114" s="35"/>
      <x:c r="N114" s="33" t="str">
        <x:v>PACK-01-ART-01;PACK-01-VID-01;DST-05</x:v>
      </x:c>
      <x:c r="O114" s="33" t="str"/>
      <x:c r="P114" s="33" t="str">
        <x:v>GTM-03;GTM-05</x:v>
      </x:c>
      <x:c r="Q114" s="33" t="str">
        <x:v>11.2;2.6</x:v>
      </x:c>
      <x:c r="R114" s="33" t="str">
        <x:v>Decomposição proposta</x:v>
      </x:c>
      <x:c r="S114" s="34"/>
      <x:c r="T114" s="33" t="str">
        <x:f>IF(I114="Concluída",IF(OR(S114="",M114=""),"Falta evidência/data","Confirmada"),"Não confirmada")</x:f>
        <x:v>Não confirmada</x:v>
      </x:c>
      <x:c r="U114" s="33" t="str">
        <x:f>IF(T114="Confirmada","Concluída",IF(I114="Cancelada","Cancelada",IF(L114="","Sem prazo",IF(L114&lt;TODAY(),"Prazo vencido","No prazo"))))</x:f>
        <x:v>Sem prazo</x:v>
      </x:c>
      <x:c r="V114" s="34"/>
    </x:row>
    <x:row r="115" ht="62" customHeight="1">
      <x:c r="A115" s="33" t="str">
        <x:v>PACK-01-CTA-05</x:v>
      </x:c>
      <x:c r="B115" s="33" t="str">
        <x:v>AR-02</x:v>
      </x:c>
      <x:c r="C115" s="33" t="str">
        <x:v>OBJ-02</x:v>
      </x:c>
      <x:c r="D115" s="33" t="str">
        <x:v>Produzir cta de ferramenta 5 do PACK-01</x:v>
      </x:c>
      <x:c r="E115" s="33" t="str">
        <x:v>Uma ação principal; benefício, destino e evento mensurável. Revisão e arquivo final registrados.</x:v>
      </x:c>
      <x:c r="F115" s="33" t="str">
        <x:v>PACK-01</x:v>
      </x:c>
      <x:c r="G115" s="33" t="str">
        <x:v>CTA</x:v>
      </x:c>
      <x:c r="H115" s="33" t="str">
        <x:v>Obrigatório</x:v>
      </x:c>
      <x:c r="I115" s="34" t="str">
        <x:v>A confirmar</x:v>
      </x:c>
      <x:c r="J115" s="34" t="str">
        <x:v>A definir</x:v>
      </x:c>
      <x:c r="K115" s="35"/>
      <x:c r="L115" s="35"/>
      <x:c r="M115" s="35"/>
      <x:c r="N115" s="33" t="str">
        <x:v>PACK-01-ART-01;PACK-01-VID-01;DST-05</x:v>
      </x:c>
      <x:c r="O115" s="33" t="str"/>
      <x:c r="P115" s="33" t="str">
        <x:v>GTM-03;GTM-05</x:v>
      </x:c>
      <x:c r="Q115" s="33" t="str">
        <x:v>11.2;2.6</x:v>
      </x:c>
      <x:c r="R115" s="33" t="str">
        <x:v>Decomposição proposta</x:v>
      </x:c>
      <x:c r="S115" s="34"/>
      <x:c r="T115" s="33" t="str">
        <x:f>IF(I115="Concluída",IF(OR(S115="",M115=""),"Falta evidência/data","Confirmada"),"Não confirmada")</x:f>
        <x:v>Não confirmada</x:v>
      </x:c>
      <x:c r="U115" s="33" t="str">
        <x:f>IF(T115="Confirmada","Concluída",IF(I115="Cancelada","Cancelada",IF(L115="","Sem prazo",IF(L115&lt;TODAY(),"Prazo vencido","No prazo"))))</x:f>
        <x:v>Sem prazo</x:v>
      </x:c>
      <x:c r="V115" s="34"/>
    </x:row>
    <x:row r="116" ht="62" customHeight="1">
      <x:c r="A116" s="33" t="str">
        <x:v>PACK-01-CTA-06</x:v>
      </x:c>
      <x:c r="B116" s="33" t="str">
        <x:v>AR-02</x:v>
      </x:c>
      <x:c r="C116" s="33" t="str">
        <x:v>OBJ-02</x:v>
      </x:c>
      <x:c r="D116" s="33" t="str">
        <x:v>Produzir cta de ferramenta 6 do PACK-01</x:v>
      </x:c>
      <x:c r="E116" s="33" t="str">
        <x:v>Uma ação principal; benefício, destino e evento mensurável. Revisão e arquivo final registrados.</x:v>
      </x:c>
      <x:c r="F116" s="33" t="str">
        <x:v>PACK-01</x:v>
      </x:c>
      <x:c r="G116" s="33" t="str">
        <x:v>CTA</x:v>
      </x:c>
      <x:c r="H116" s="33" t="str">
        <x:v>Obrigatório</x:v>
      </x:c>
      <x:c r="I116" s="34" t="str">
        <x:v>A confirmar</x:v>
      </x:c>
      <x:c r="J116" s="34" t="str">
        <x:v>A definir</x:v>
      </x:c>
      <x:c r="K116" s="35"/>
      <x:c r="L116" s="35"/>
      <x:c r="M116" s="35"/>
      <x:c r="N116" s="33" t="str">
        <x:v>PACK-01-ART-01;PACK-01-VID-01;DST-05</x:v>
      </x:c>
      <x:c r="O116" s="33" t="str"/>
      <x:c r="P116" s="33" t="str">
        <x:v>GTM-03;GTM-05</x:v>
      </x:c>
      <x:c r="Q116" s="33" t="str">
        <x:v>11.2;2.6</x:v>
      </x:c>
      <x:c r="R116" s="33" t="str">
        <x:v>Decomposição proposta</x:v>
      </x:c>
      <x:c r="S116" s="34"/>
      <x:c r="T116" s="33" t="str">
        <x:f>IF(I116="Concluída",IF(OR(S116="",M116=""),"Falta evidência/data","Confirmada"),"Não confirmada")</x:f>
        <x:v>Não confirmada</x:v>
      </x:c>
      <x:c r="U116" s="33" t="str">
        <x:f>IF(T116="Confirmada","Concluída",IF(I116="Cancelada","Cancelada",IF(L116="","Sem prazo",IF(L116&lt;TODAY(),"Prazo vencido","No prazo"))))</x:f>
        <x:v>Sem prazo</x:v>
      </x:c>
      <x:c r="V116" s="34"/>
    </x:row>
    <x:row r="117" ht="226" customHeight="1">
      <x:c r="A117" s="33" t="str">
        <x:v>PACK-01-QA</x:v>
      </x:c>
      <x:c r="B117" s="33" t="str">
        <x:v>AR-02</x:v>
      </x:c>
      <x:c r="C117" s="33" t="str">
        <x:v>OBJ-02</x:v>
      </x:c>
      <x:c r="D117" s="33" t="str">
        <x:v>Revisar banco de conteúdo do PACK-01</x:v>
      </x:c>
      <x:c r="E117" s="33" t="str">
        <x:v>43 peças mínimas validadas; coerência, evidências, formatos e CTA revisados.</x:v>
      </x:c>
      <x:c r="F117" s="33" t="str">
        <x:v>PACK-01</x:v>
      </x:c>
      <x:c r="G117" s="33" t="str">
        <x:v>Atividade</x:v>
      </x:c>
      <x:c r="H117" s="33" t="str">
        <x:v>Obrigatório</x:v>
      </x:c>
      <x:c r="I117" s="34" t="str">
        <x:v>A confirmar</x:v>
      </x:c>
      <x:c r="J117" s="34" t="str">
        <x:v>A definir</x:v>
      </x:c>
      <x:c r="K117" s="35"/>
      <x:c r="L117" s="35"/>
      <x:c r="M117" s="35"/>
      <x:c r="N117" s="33" t="str">
        <x:v>PACK-01-ART-01;PACK-01-VID-01;PACK-01-VRT-01;PACK-01-VRT-02;PACK-01-VRT-03;PACK-01-VRT-04;PACK-01-CRS-01;PACK-01-CRS-02;PACK-01-CRS-03;PACK-01-CRS-04;PACK-01-CRS-05;PACK-01-CRS-06;PACK-01-IMG-01;PACK-01-IMG-02;PACK-01-IMG-03;PACK-01-IMG-04;PACK-01-IMG-05;PACK-01-IMG-06;PACK-01-INF-01;PACK-01-INF-02;PACK-01-INF-03;PACK-01-STR-01;PACK-01-STR-02;PACK-01-STR-03;PACK-01-STR-04;PACK-01-STR-05;PACK-01-STR-06;PACK-01-STR-07;PACK-01-STR-08;PACK-01-STR-09;PACK-01-STR-10;PACK-01-NWL-01;PACK-01-NWL-02;PACK-01-NWL-03;PACK-01-EBK-01;PACK-01-EBK-02;PACK-01-EBK-03;PACK-01-CTA-01;PACK-01-CTA-02;PACK-01-CTA-03;PACK-01-CTA-04;PACK-01-CTA-05;PACK-01-CTA-06</x:v>
      </x:c>
      <x:c r="O117" s="33" t="str"/>
      <x:c r="P117" s="33" t="str">
        <x:v>GTM-05</x:v>
      </x:c>
      <x:c r="Q117" s="33" t="str">
        <x:v>2.6;11.2</x:v>
      </x:c>
      <x:c r="R117" s="33" t="str">
        <x:v>Decomposição proposta</x:v>
      </x:c>
      <x:c r="S117" s="34"/>
      <x:c r="T117" s="33" t="str">
        <x:f>IF(I117="Concluída",IF(OR(S117="",M117=""),"Falta evidência/data","Confirmada"),"Não confirmada")</x:f>
        <x:v>Não confirmada</x:v>
      </x:c>
      <x:c r="U117" s="33" t="str">
        <x:f>IF(T117="Confirmada","Concluída",IF(I117="Cancelada","Cancelada",IF(L117="","Sem prazo",IF(L117&lt;TODAY(),"Prazo vencido","No prazo"))))</x:f>
        <x:v>Sem prazo</x:v>
      </x:c>
      <x:c r="V117" s="34"/>
    </x:row>
    <x:row r="118" ht="62" customHeight="1">
      <x:c r="A118" s="33" t="str">
        <x:v>PACK-01-DIST</x:v>
      </x:c>
      <x:c r="B118" s="33" t="str">
        <x:v>AR-08</x:v>
      </x:c>
      <x:c r="C118" s="33" t="str">
        <x:v>OBJ-08</x:v>
      </x:c>
      <x:c r="D118" s="33" t="str">
        <x:v>Adaptar e distribuir o PACK-01</x:v>
      </x:c>
      <x:c r="E118" s="33" t="str">
        <x:v>Canais aprovados recebem composição nativa; URLs, datas e sinais registrados.</x:v>
      </x:c>
      <x:c r="F118" s="33" t="str">
        <x:v>PACK-01</x:v>
      </x:c>
      <x:c r="G118" s="33" t="str">
        <x:v>Atividade</x:v>
      </x:c>
      <x:c r="H118" s="33" t="str">
        <x:v>Obrigatório</x:v>
      </x:c>
      <x:c r="I118" s="34" t="str">
        <x:v>A confirmar</x:v>
      </x:c>
      <x:c r="J118" s="34" t="str">
        <x:v>A definir</x:v>
      </x:c>
      <x:c r="K118" s="35"/>
      <x:c r="L118" s="35"/>
      <x:c r="M118" s="35"/>
      <x:c r="N118" s="33" t="str">
        <x:v>PACK-01-QA;DST-01;DST-06;GOV-09</x:v>
      </x:c>
      <x:c r="O118" s="33" t="str"/>
      <x:c r="P118" s="33" t="str">
        <x:v>GTM-04;GTM-06</x:v>
      </x:c>
      <x:c r="Q118" s="33" t="str">
        <x:v>1.4;11.2</x:v>
      </x:c>
      <x:c r="R118" s="33" t="str">
        <x:v>Decomposição proposta</x:v>
      </x:c>
      <x:c r="S118" s="34"/>
      <x:c r="T118" s="33" t="str">
        <x:f>IF(I118="Concluída",IF(OR(S118="",M118=""),"Falta evidência/data","Confirmada"),"Não confirmada")</x:f>
        <x:v>Não confirmada</x:v>
      </x:c>
      <x:c r="U118" s="33" t="str">
        <x:f>IF(T118="Confirmada","Concluída",IF(I118="Cancelada","Cancelada",IF(L118="","Sem prazo",IF(L118&lt;TODAY(),"Prazo vencido","No prazo"))))</x:f>
        <x:v>Sem prazo</x:v>
      </x:c>
      <x:c r="V118" s="34"/>
    </x:row>
    <x:row r="119" ht="62" customHeight="1">
      <x:c r="A119" s="33" t="str">
        <x:v>PACK-02-BRIEF</x:v>
      </x:c>
      <x:c r="B119" s="33" t="str">
        <x:v>AR-02</x:v>
      </x:c>
      <x:c r="C119" s="33" t="str">
        <x:v>OBJ-02</x:v>
      </x:c>
      <x:c r="D119" s="33" t="str">
        <x:v>Definir tema e brief do PACK-02</x:v>
      </x:c>
      <x:c r="E119" s="33" t="str">
        <x:v>Tema, pilar, consciência, público, evidências e CTA definidos.</x:v>
      </x:c>
      <x:c r="F119" s="33" t="str">
        <x:v>PACK-02</x:v>
      </x:c>
      <x:c r="G119" s="33" t="str">
        <x:v>Atividade</x:v>
      </x:c>
      <x:c r="H119" s="33" t="str">
        <x:v>Obrigatório</x:v>
      </x:c>
      <x:c r="I119" s="34" t="str">
        <x:v>A confirmar</x:v>
      </x:c>
      <x:c r="J119" s="34" t="str">
        <x:v>A definir</x:v>
      </x:c>
      <x:c r="K119" s="35"/>
      <x:c r="L119" s="35"/>
      <x:c r="M119" s="35"/>
      <x:c r="N119" s="33" t="str">
        <x:v>PACK-01-QA</x:v>
      </x:c>
      <x:c r="O119" s="33" t="str">
        <x:v>DEC-10</x:v>
      </x:c>
      <x:c r="P119" s="33" t="str">
        <x:v>GTM-03;GTM-05</x:v>
      </x:c>
      <x:c r="Q119" s="33" t="str">
        <x:v>11.1;11.2;11.4</x:v>
      </x:c>
      <x:c r="R119" s="33" t="str">
        <x:v>Decomposição proposta</x:v>
      </x:c>
      <x:c r="S119" s="34"/>
      <x:c r="T119" s="33" t="str">
        <x:f>IF(I119="Concluída",IF(OR(S119="",M119=""),"Falta evidência/data","Confirmada"),"Não confirmada")</x:f>
        <x:v>Não confirmada</x:v>
      </x:c>
      <x:c r="U119" s="33" t="str">
        <x:f>IF(T119="Confirmada","Concluída",IF(I119="Cancelada","Cancelada",IF(L119="","Sem prazo",IF(L119&lt;TODAY(),"Prazo vencido","No prazo"))))</x:f>
        <x:v>Sem prazo</x:v>
      </x:c>
      <x:c r="V119" s="34"/>
    </x:row>
    <x:row r="120" ht="62" customHeight="1">
      <x:c r="A120" s="33" t="str">
        <x:v>PACK-02-PESQ</x:v>
      </x:c>
      <x:c r="B120" s="33" t="str">
        <x:v>AR-02</x:v>
      </x:c>
      <x:c r="C120" s="33" t="str">
        <x:v>OBJ-02</x:v>
      </x:c>
      <x:c r="D120" s="33" t="str">
        <x:v>Pesquisar e validar evidências do PACK-02</x:v>
      </x:c>
      <x:c r="E120" s="33" t="str">
        <x:v>Fontes e claims registrados; inferências marcadas.</x:v>
      </x:c>
      <x:c r="F120" s="33" t="str">
        <x:v>PACK-02</x:v>
      </x:c>
      <x:c r="G120" s="33" t="str">
        <x:v>Atividade</x:v>
      </x:c>
      <x:c r="H120" s="33" t="str">
        <x:v>Obrigatório</x:v>
      </x:c>
      <x:c r="I120" s="34" t="str">
        <x:v>A confirmar</x:v>
      </x:c>
      <x:c r="J120" s="34" t="str">
        <x:v>A definir</x:v>
      </x:c>
      <x:c r="K120" s="35"/>
      <x:c r="L120" s="35"/>
      <x:c r="M120" s="35"/>
      <x:c r="N120" s="33" t="str">
        <x:v>PACK-02-BRIEF;SCH-07</x:v>
      </x:c>
      <x:c r="O120" s="33" t="str"/>
      <x:c r="P120" s="33" t="str">
        <x:v>GTM-05</x:v>
      </x:c>
      <x:c r="Q120" s="33" t="str">
        <x:v>14.1;17.3</x:v>
      </x:c>
      <x:c r="R120" s="33" t="str">
        <x:v>Decomposição proposta</x:v>
      </x:c>
      <x:c r="S120" s="34"/>
      <x:c r="T120" s="33" t="str">
        <x:f>IF(I120="Concluída",IF(OR(S120="",M120=""),"Falta evidência/data","Confirmada"),"Não confirmada")</x:f>
        <x:v>Não confirmada</x:v>
      </x:c>
      <x:c r="U120" s="33" t="str">
        <x:f>IF(T120="Confirmada","Concluída",IF(I120="Cancelada","Cancelada",IF(L120="","Sem prazo",IF(L120&lt;TODAY(),"Prazo vencido","No prazo"))))</x:f>
        <x:v>Sem prazo</x:v>
      </x:c>
      <x:c r="V120" s="34"/>
    </x:row>
    <x:row r="121" ht="62" customHeight="1">
      <x:c r="A121" s="33" t="str">
        <x:v>PACK-02-ART-01</x:v>
      </x:c>
      <x:c r="B121" s="33" t="str">
        <x:v>AR-02</x:v>
      </x:c>
      <x:c r="C121" s="33" t="str">
        <x:v>OBJ-02</x:v>
      </x:c>
      <x:c r="D121" s="33" t="str">
        <x:v>Produzir artigo-mãe 1 do PACK-02</x:v>
      </x:c>
      <x:c r="E121" s="33" t="str">
        <x:v>Markdown/HTML; 1.800–2.400 palavras; 9–11 blocos. Revisão e arquivo final registrados.</x:v>
      </x:c>
      <x:c r="F121" s="33" t="str">
        <x:v>PACK-02</x:v>
      </x:c>
      <x:c r="G121" s="33" t="str">
        <x:v>ART</x:v>
      </x:c>
      <x:c r="H121" s="33" t="str">
        <x:v>Obrigatório</x:v>
      </x:c>
      <x:c r="I121" s="34" t="str">
        <x:v>A confirmar</x:v>
      </x:c>
      <x:c r="J121" s="34" t="str">
        <x:v>A definir</x:v>
      </x:c>
      <x:c r="K121" s="35"/>
      <x:c r="L121" s="35"/>
      <x:c r="M121" s="35"/>
      <x:c r="N121" s="33" t="str">
        <x:v>PACK-02-PESQ</x:v>
      </x:c>
      <x:c r="O121" s="33" t="str"/>
      <x:c r="P121" s="33" t="str">
        <x:v>GTM-03;GTM-05</x:v>
      </x:c>
      <x:c r="Q121" s="33" t="str">
        <x:v>11.2;2.6</x:v>
      </x:c>
      <x:c r="R121" s="33" t="str">
        <x:v>Decomposição proposta</x:v>
      </x:c>
      <x:c r="S121" s="34"/>
      <x:c r="T121" s="33" t="str">
        <x:f>IF(I121="Concluída",IF(OR(S121="",M121=""),"Falta evidência/data","Confirmada"),"Não confirmada")</x:f>
        <x:v>Não confirmada</x:v>
      </x:c>
      <x:c r="U121" s="33" t="str">
        <x:f>IF(T121="Confirmada","Concluída",IF(I121="Cancelada","Cancelada",IF(L121="","Sem prazo",IF(L121&lt;TODAY(),"Prazo vencido","No prazo"))))</x:f>
        <x:v>Sem prazo</x:v>
      </x:c>
      <x:c r="V121" s="34"/>
    </x:row>
    <x:row r="122" ht="62" customHeight="1">
      <x:c r="A122" s="33" t="str">
        <x:v>PACK-02-VID-01</x:v>
      </x:c>
      <x:c r="B122" s="33" t="str">
        <x:v>AR-02</x:v>
      </x:c>
      <x:c r="C122" s="33" t="str">
        <x:v>OBJ-02</x:v>
      </x:c>
      <x:c r="D122" s="33" t="str">
        <x:v>Produzir vídeo-mãe 1 do PACK-02</x:v>
      </x:c>
      <x:c r="E122" s="33" t="str">
        <x:v>MP4; 16:9; 1920×1080; 8–12 min. Revisão e arquivo final registrados.</x:v>
      </x:c>
      <x:c r="F122" s="33" t="str">
        <x:v>PACK-02</x:v>
      </x:c>
      <x:c r="G122" s="33" t="str">
        <x:v>VID</x:v>
      </x:c>
      <x:c r="H122" s="33" t="str">
        <x:v>Obrigatório</x:v>
      </x:c>
      <x:c r="I122" s="34" t="str">
        <x:v>A confirmar</x:v>
      </x:c>
      <x:c r="J122" s="34" t="str">
        <x:v>A definir</x:v>
      </x:c>
      <x:c r="K122" s="35"/>
      <x:c r="L122" s="35"/>
      <x:c r="M122" s="35"/>
      <x:c r="N122" s="33" t="str">
        <x:v>PACK-02-ART-01;AGT-04</x:v>
      </x:c>
      <x:c r="O122" s="33" t="str"/>
      <x:c r="P122" s="33" t="str">
        <x:v>GTM-03;GTM-05</x:v>
      </x:c>
      <x:c r="Q122" s="33" t="str">
        <x:v>11.2;2.6</x:v>
      </x:c>
      <x:c r="R122" s="33" t="str">
        <x:v>Decomposição proposta</x:v>
      </x:c>
      <x:c r="S122" s="34"/>
      <x:c r="T122" s="33" t="str">
        <x:f>IF(I122="Concluída",IF(OR(S122="",M122=""),"Falta evidência/data","Confirmada"),"Não confirmada")</x:f>
        <x:v>Não confirmada</x:v>
      </x:c>
      <x:c r="U122" s="33" t="str">
        <x:f>IF(T122="Confirmada","Concluída",IF(I122="Cancelada","Cancelada",IF(L122="","Sem prazo",IF(L122&lt;TODAY(),"Prazo vencido","No prazo"))))</x:f>
        <x:v>Sem prazo</x:v>
      </x:c>
      <x:c r="V122" s="34"/>
    </x:row>
    <x:row r="123" ht="62" customHeight="1">
      <x:c r="A123" s="33" t="str">
        <x:v>PACK-02-VRT-01</x:v>
      </x:c>
      <x:c r="B123" s="33" t="str">
        <x:v>AR-02</x:v>
      </x:c>
      <x:c r="C123" s="33" t="str">
        <x:v>OBJ-02</x:v>
      </x:c>
      <x:c r="D123" s="33" t="str">
        <x:v>Produzir vídeo vertical 1 do PACK-02</x:v>
      </x:c>
      <x:c r="E123" s="33" t="str">
        <x:v>MP4; 9:16; 1080×1920; 20–60 s. Shorts/Reels/TikTok são adaptações, sem contar novos masters.. Revisão e arquivo final registrados.</x:v>
      </x:c>
      <x:c r="F123" s="33" t="str">
        <x:v>PACK-02</x:v>
      </x:c>
      <x:c r="G123" s="33" t="str">
        <x:v>VRT</x:v>
      </x:c>
      <x:c r="H123" s="33" t="str">
        <x:v>Obrigatório</x:v>
      </x:c>
      <x:c r="I123" s="34" t="str">
        <x:v>A confirmar</x:v>
      </x:c>
      <x:c r="J123" s="34" t="str">
        <x:v>A definir</x:v>
      </x:c>
      <x:c r="K123" s="35"/>
      <x:c r="L123" s="35"/>
      <x:c r="M123" s="35"/>
      <x:c r="N123" s="33" t="str">
        <x:v>PACK-02-ART-01;PACK-02-VID-01</x:v>
      </x:c>
      <x:c r="O123" s="33" t="str"/>
      <x:c r="P123" s="33" t="str">
        <x:v>GTM-03;GTM-05</x:v>
      </x:c>
      <x:c r="Q123" s="33" t="str">
        <x:v>11.2;2.6</x:v>
      </x:c>
      <x:c r="R123" s="33" t="str">
        <x:v>Decomposição proposta</x:v>
      </x:c>
      <x:c r="S123" s="34"/>
      <x:c r="T123" s="33" t="str">
        <x:f>IF(I123="Concluída",IF(OR(S123="",M123=""),"Falta evidência/data","Confirmada"),"Não confirmada")</x:f>
        <x:v>Não confirmada</x:v>
      </x:c>
      <x:c r="U123" s="33" t="str">
        <x:f>IF(T123="Confirmada","Concluída",IF(I123="Cancelada","Cancelada",IF(L123="","Sem prazo",IF(L123&lt;TODAY(),"Prazo vencido","No prazo"))))</x:f>
        <x:v>Sem prazo</x:v>
      </x:c>
      <x:c r="V123" s="34"/>
    </x:row>
    <x:row r="124" ht="62" customHeight="1">
      <x:c r="A124" s="33" t="str">
        <x:v>PACK-02-VRT-02</x:v>
      </x:c>
      <x:c r="B124" s="33" t="str">
        <x:v>AR-02</x:v>
      </x:c>
      <x:c r="C124" s="33" t="str">
        <x:v>OBJ-02</x:v>
      </x:c>
      <x:c r="D124" s="33" t="str">
        <x:v>Produzir vídeo vertical 2 do PACK-02</x:v>
      </x:c>
      <x:c r="E124" s="33" t="str">
        <x:v>MP4; 9:16; 1080×1920; 20–60 s. Shorts/Reels/TikTok são adaptações, sem contar novos masters.. Revisão e arquivo final registrados.</x:v>
      </x:c>
      <x:c r="F124" s="33" t="str">
        <x:v>PACK-02</x:v>
      </x:c>
      <x:c r="G124" s="33" t="str">
        <x:v>VRT</x:v>
      </x:c>
      <x:c r="H124" s="33" t="str">
        <x:v>Obrigatório</x:v>
      </x:c>
      <x:c r="I124" s="34" t="str">
        <x:v>A confirmar</x:v>
      </x:c>
      <x:c r="J124" s="34" t="str">
        <x:v>A definir</x:v>
      </x:c>
      <x:c r="K124" s="35"/>
      <x:c r="L124" s="35"/>
      <x:c r="M124" s="35"/>
      <x:c r="N124" s="33" t="str">
        <x:v>PACK-02-ART-01;PACK-02-VID-01</x:v>
      </x:c>
      <x:c r="O124" s="33" t="str"/>
      <x:c r="P124" s="33" t="str">
        <x:v>GTM-03;GTM-05</x:v>
      </x:c>
      <x:c r="Q124" s="33" t="str">
        <x:v>11.2;2.6</x:v>
      </x:c>
      <x:c r="R124" s="33" t="str">
        <x:v>Decomposição proposta</x:v>
      </x:c>
      <x:c r="S124" s="34"/>
      <x:c r="T124" s="33" t="str">
        <x:f>IF(I124="Concluída",IF(OR(S124="",M124=""),"Falta evidência/data","Confirmada"),"Não confirmada")</x:f>
        <x:v>Não confirmada</x:v>
      </x:c>
      <x:c r="U124" s="33" t="str">
        <x:f>IF(T124="Confirmada","Concluída",IF(I124="Cancelada","Cancelada",IF(L124="","Sem prazo",IF(L124&lt;TODAY(),"Prazo vencido","No prazo"))))</x:f>
        <x:v>Sem prazo</x:v>
      </x:c>
      <x:c r="V124" s="34"/>
    </x:row>
    <x:row r="125" ht="62" customHeight="1">
      <x:c r="A125" s="33" t="str">
        <x:v>PACK-02-VRT-03</x:v>
      </x:c>
      <x:c r="B125" s="33" t="str">
        <x:v>AR-02</x:v>
      </x:c>
      <x:c r="C125" s="33" t="str">
        <x:v>OBJ-02</x:v>
      </x:c>
      <x:c r="D125" s="33" t="str">
        <x:v>Produzir vídeo vertical 3 do PACK-02</x:v>
      </x:c>
      <x:c r="E125" s="33" t="str">
        <x:v>MP4; 9:16; 1080×1920; 20–60 s. Shorts/Reels/TikTok são adaptações, sem contar novos masters.. Revisão e arquivo final registrados.</x:v>
      </x:c>
      <x:c r="F125" s="33" t="str">
        <x:v>PACK-02</x:v>
      </x:c>
      <x:c r="G125" s="33" t="str">
        <x:v>VRT</x:v>
      </x:c>
      <x:c r="H125" s="33" t="str">
        <x:v>Obrigatório</x:v>
      </x:c>
      <x:c r="I125" s="34" t="str">
        <x:v>A confirmar</x:v>
      </x:c>
      <x:c r="J125" s="34" t="str">
        <x:v>A definir</x:v>
      </x:c>
      <x:c r="K125" s="35"/>
      <x:c r="L125" s="35"/>
      <x:c r="M125" s="35"/>
      <x:c r="N125" s="33" t="str">
        <x:v>PACK-02-ART-01;PACK-02-VID-01</x:v>
      </x:c>
      <x:c r="O125" s="33" t="str"/>
      <x:c r="P125" s="33" t="str">
        <x:v>GTM-03;GTM-05</x:v>
      </x:c>
      <x:c r="Q125" s="33" t="str">
        <x:v>11.2;2.6</x:v>
      </x:c>
      <x:c r="R125" s="33" t="str">
        <x:v>Decomposição proposta</x:v>
      </x:c>
      <x:c r="S125" s="34"/>
      <x:c r="T125" s="33" t="str">
        <x:f>IF(I125="Concluída",IF(OR(S125="",M125=""),"Falta evidência/data","Confirmada"),"Não confirmada")</x:f>
        <x:v>Não confirmada</x:v>
      </x:c>
      <x:c r="U125" s="33" t="str">
        <x:f>IF(T125="Confirmada","Concluída",IF(I125="Cancelada","Cancelada",IF(L125="","Sem prazo",IF(L125&lt;TODAY(),"Prazo vencido","No prazo"))))</x:f>
        <x:v>Sem prazo</x:v>
      </x:c>
      <x:c r="V125" s="34"/>
    </x:row>
    <x:row r="126" ht="62" customHeight="1">
      <x:c r="A126" s="33" t="str">
        <x:v>PACK-02-VRT-04</x:v>
      </x:c>
      <x:c r="B126" s="33" t="str">
        <x:v>AR-02</x:v>
      </x:c>
      <x:c r="C126" s="33" t="str">
        <x:v>OBJ-02</x:v>
      </x:c>
      <x:c r="D126" s="33" t="str">
        <x:v>Produzir vídeo vertical 4 do PACK-02</x:v>
      </x:c>
      <x:c r="E126" s="33" t="str">
        <x:v>MP4; 9:16; 1080×1920; 20–60 s. Shorts/Reels/TikTok são adaptações, sem contar novos masters.. Revisão e arquivo final registrados.</x:v>
      </x:c>
      <x:c r="F126" s="33" t="str">
        <x:v>PACK-02</x:v>
      </x:c>
      <x:c r="G126" s="33" t="str">
        <x:v>VRT</x:v>
      </x:c>
      <x:c r="H126" s="33" t="str">
        <x:v>Obrigatório</x:v>
      </x:c>
      <x:c r="I126" s="34" t="str">
        <x:v>A confirmar</x:v>
      </x:c>
      <x:c r="J126" s="34" t="str">
        <x:v>A definir</x:v>
      </x:c>
      <x:c r="K126" s="35"/>
      <x:c r="L126" s="35"/>
      <x:c r="M126" s="35"/>
      <x:c r="N126" s="33" t="str">
        <x:v>PACK-02-ART-01;PACK-02-VID-01</x:v>
      </x:c>
      <x:c r="O126" s="33" t="str"/>
      <x:c r="P126" s="33" t="str">
        <x:v>GTM-03;GTM-05</x:v>
      </x:c>
      <x:c r="Q126" s="33" t="str">
        <x:v>11.2;2.6</x:v>
      </x:c>
      <x:c r="R126" s="33" t="str">
        <x:v>Decomposição proposta</x:v>
      </x:c>
      <x:c r="S126" s="34"/>
      <x:c r="T126" s="33" t="str">
        <x:f>IF(I126="Concluída",IF(OR(S126="",M126=""),"Falta evidência/data","Confirmada"),"Não confirmada")</x:f>
        <x:v>Não confirmada</x:v>
      </x:c>
      <x:c r="U126" s="33" t="str">
        <x:f>IF(T126="Confirmada","Concluída",IF(I126="Cancelada","Cancelada",IF(L126="","Sem prazo",IF(L126&lt;TODAY(),"Prazo vencido","No prazo"))))</x:f>
        <x:v>Sem prazo</x:v>
      </x:c>
      <x:c r="V126" s="34"/>
    </x:row>
    <x:row r="127" ht="62" customHeight="1">
      <x:c r="A127" s="33" t="str">
        <x:v>PACK-02-CRS-01</x:v>
      </x:c>
      <x:c r="B127" s="33" t="str">
        <x:v>AR-02</x:v>
      </x:c>
      <x:c r="C127" s="33" t="str">
        <x:v>OBJ-02</x:v>
      </x:c>
      <x:c r="D127" s="33" t="str">
        <x:v>Produzir carrossel 1 do PACK-02</x:v>
      </x:c>
      <x:c r="E127" s="33" t="str">
        <x:v>PNG/JPG ou PDF; 1080×1350; 6–10 páginas. Revisão e arquivo final registrados.</x:v>
      </x:c>
      <x:c r="F127" s="33" t="str">
        <x:v>PACK-02</x:v>
      </x:c>
      <x:c r="G127" s="33" t="str">
        <x:v>CRS</x:v>
      </x:c>
      <x:c r="H127" s="33" t="str">
        <x:v>Obrigatório</x:v>
      </x:c>
      <x:c r="I127" s="34" t="str">
        <x:v>A confirmar</x:v>
      </x:c>
      <x:c r="J127" s="34" t="str">
        <x:v>A definir</x:v>
      </x:c>
      <x:c r="K127" s="35"/>
      <x:c r="L127" s="35"/>
      <x:c r="M127" s="35"/>
      <x:c r="N127" s="33" t="str">
        <x:v>PACK-02-ART-01;PACK-02-VID-01</x:v>
      </x:c>
      <x:c r="O127" s="33" t="str"/>
      <x:c r="P127" s="33" t="str">
        <x:v>GTM-03;GTM-05</x:v>
      </x:c>
      <x:c r="Q127" s="33" t="str">
        <x:v>11.2;2.6</x:v>
      </x:c>
      <x:c r="R127" s="33" t="str">
        <x:v>Decomposição proposta</x:v>
      </x:c>
      <x:c r="S127" s="34"/>
      <x:c r="T127" s="33" t="str">
        <x:f>IF(I127="Concluída",IF(OR(S127="",M127=""),"Falta evidência/data","Confirmada"),"Não confirmada")</x:f>
        <x:v>Não confirmada</x:v>
      </x:c>
      <x:c r="U127" s="33" t="str">
        <x:f>IF(T127="Confirmada","Concluída",IF(I127="Cancelada","Cancelada",IF(L127="","Sem prazo",IF(L127&lt;TODAY(),"Prazo vencido","No prazo"))))</x:f>
        <x:v>Sem prazo</x:v>
      </x:c>
      <x:c r="V127" s="34"/>
    </x:row>
    <x:row r="128" ht="62" customHeight="1">
      <x:c r="A128" s="33" t="str">
        <x:v>PACK-02-CRS-02</x:v>
      </x:c>
      <x:c r="B128" s="33" t="str">
        <x:v>AR-02</x:v>
      </x:c>
      <x:c r="C128" s="33" t="str">
        <x:v>OBJ-02</x:v>
      </x:c>
      <x:c r="D128" s="33" t="str">
        <x:v>Produzir carrossel 2 do PACK-02</x:v>
      </x:c>
      <x:c r="E128" s="33" t="str">
        <x:v>PNG/JPG ou PDF; 1080×1350; 6–10 páginas. Revisão e arquivo final registrados.</x:v>
      </x:c>
      <x:c r="F128" s="33" t="str">
        <x:v>PACK-02</x:v>
      </x:c>
      <x:c r="G128" s="33" t="str">
        <x:v>CRS</x:v>
      </x:c>
      <x:c r="H128" s="33" t="str">
        <x:v>Obrigatório</x:v>
      </x:c>
      <x:c r="I128" s="34" t="str">
        <x:v>A confirmar</x:v>
      </x:c>
      <x:c r="J128" s="34" t="str">
        <x:v>A definir</x:v>
      </x:c>
      <x:c r="K128" s="35"/>
      <x:c r="L128" s="35"/>
      <x:c r="M128" s="35"/>
      <x:c r="N128" s="33" t="str">
        <x:v>PACK-02-ART-01;PACK-02-VID-01</x:v>
      </x:c>
      <x:c r="O128" s="33" t="str"/>
      <x:c r="P128" s="33" t="str">
        <x:v>GTM-03;GTM-05</x:v>
      </x:c>
      <x:c r="Q128" s="33" t="str">
        <x:v>11.2;2.6</x:v>
      </x:c>
      <x:c r="R128" s="33" t="str">
        <x:v>Decomposição proposta</x:v>
      </x:c>
      <x:c r="S128" s="34"/>
      <x:c r="T128" s="33" t="str">
        <x:f>IF(I128="Concluída",IF(OR(S128="",M128=""),"Falta evidência/data","Confirmada"),"Não confirmada")</x:f>
        <x:v>Não confirmada</x:v>
      </x:c>
      <x:c r="U128" s="33" t="str">
        <x:f>IF(T128="Confirmada","Concluída",IF(I128="Cancelada","Cancelada",IF(L128="","Sem prazo",IF(L128&lt;TODAY(),"Prazo vencido","No prazo"))))</x:f>
        <x:v>Sem prazo</x:v>
      </x:c>
      <x:c r="V128" s="34"/>
    </x:row>
    <x:row r="129" ht="62" customHeight="1">
      <x:c r="A129" s="33" t="str">
        <x:v>PACK-02-CRS-03</x:v>
      </x:c>
      <x:c r="B129" s="33" t="str">
        <x:v>AR-02</x:v>
      </x:c>
      <x:c r="C129" s="33" t="str">
        <x:v>OBJ-02</x:v>
      </x:c>
      <x:c r="D129" s="33" t="str">
        <x:v>Produzir carrossel 3 do PACK-02</x:v>
      </x:c>
      <x:c r="E129" s="33" t="str">
        <x:v>PNG/JPG ou PDF; 1080×1350; 6–10 páginas. Revisão e arquivo final registrados.</x:v>
      </x:c>
      <x:c r="F129" s="33" t="str">
        <x:v>PACK-02</x:v>
      </x:c>
      <x:c r="G129" s="33" t="str">
        <x:v>CRS</x:v>
      </x:c>
      <x:c r="H129" s="33" t="str">
        <x:v>Obrigatório</x:v>
      </x:c>
      <x:c r="I129" s="34" t="str">
        <x:v>A confirmar</x:v>
      </x:c>
      <x:c r="J129" s="34" t="str">
        <x:v>A definir</x:v>
      </x:c>
      <x:c r="K129" s="35"/>
      <x:c r="L129" s="35"/>
      <x:c r="M129" s="35"/>
      <x:c r="N129" s="33" t="str">
        <x:v>PACK-02-ART-01;PACK-02-VID-01</x:v>
      </x:c>
      <x:c r="O129" s="33" t="str"/>
      <x:c r="P129" s="33" t="str">
        <x:v>GTM-03;GTM-05</x:v>
      </x:c>
      <x:c r="Q129" s="33" t="str">
        <x:v>11.2;2.6</x:v>
      </x:c>
      <x:c r="R129" s="33" t="str">
        <x:v>Decomposição proposta</x:v>
      </x:c>
      <x:c r="S129" s="34"/>
      <x:c r="T129" s="33" t="str">
        <x:f>IF(I129="Concluída",IF(OR(S129="",M129=""),"Falta evidência/data","Confirmada"),"Não confirmada")</x:f>
        <x:v>Não confirmada</x:v>
      </x:c>
      <x:c r="U129" s="33" t="str">
        <x:f>IF(T129="Confirmada","Concluída",IF(I129="Cancelada","Cancelada",IF(L129="","Sem prazo",IF(L129&lt;TODAY(),"Prazo vencido","No prazo"))))</x:f>
        <x:v>Sem prazo</x:v>
      </x:c>
      <x:c r="V129" s="34"/>
    </x:row>
    <x:row r="130" ht="62" customHeight="1">
      <x:c r="A130" s="33" t="str">
        <x:v>PACK-02-CRS-04</x:v>
      </x:c>
      <x:c r="B130" s="33" t="str">
        <x:v>AR-02</x:v>
      </x:c>
      <x:c r="C130" s="33" t="str">
        <x:v>OBJ-02</x:v>
      </x:c>
      <x:c r="D130" s="33" t="str">
        <x:v>Produzir carrossel 4 do PACK-02</x:v>
      </x:c>
      <x:c r="E130" s="33" t="str">
        <x:v>PNG/JPG ou PDF; 1080×1350; 6–10 páginas. Revisão e arquivo final registrados.</x:v>
      </x:c>
      <x:c r="F130" s="33" t="str">
        <x:v>PACK-02</x:v>
      </x:c>
      <x:c r="G130" s="33" t="str">
        <x:v>CRS</x:v>
      </x:c>
      <x:c r="H130" s="33" t="str">
        <x:v>Obrigatório</x:v>
      </x:c>
      <x:c r="I130" s="34" t="str">
        <x:v>A confirmar</x:v>
      </x:c>
      <x:c r="J130" s="34" t="str">
        <x:v>A definir</x:v>
      </x:c>
      <x:c r="K130" s="35"/>
      <x:c r="L130" s="35"/>
      <x:c r="M130" s="35"/>
      <x:c r="N130" s="33" t="str">
        <x:v>PACK-02-ART-01;PACK-02-VID-01</x:v>
      </x:c>
      <x:c r="O130" s="33" t="str"/>
      <x:c r="P130" s="33" t="str">
        <x:v>GTM-03;GTM-05</x:v>
      </x:c>
      <x:c r="Q130" s="33" t="str">
        <x:v>11.2;2.6</x:v>
      </x:c>
      <x:c r="R130" s="33" t="str">
        <x:v>Decomposição proposta</x:v>
      </x:c>
      <x:c r="S130" s="34"/>
      <x:c r="T130" s="33" t="str">
        <x:f>IF(I130="Concluída",IF(OR(S130="",M130=""),"Falta evidência/data","Confirmada"),"Não confirmada")</x:f>
        <x:v>Não confirmada</x:v>
      </x:c>
      <x:c r="U130" s="33" t="str">
        <x:f>IF(T130="Confirmada","Concluída",IF(I130="Cancelada","Cancelada",IF(L130="","Sem prazo",IF(L130&lt;TODAY(),"Prazo vencido","No prazo"))))</x:f>
        <x:v>Sem prazo</x:v>
      </x:c>
      <x:c r="V130" s="34"/>
    </x:row>
    <x:row r="131" ht="62" customHeight="1">
      <x:c r="A131" s="33" t="str">
        <x:v>PACK-02-CRS-05</x:v>
      </x:c>
      <x:c r="B131" s="33" t="str">
        <x:v>AR-02</x:v>
      </x:c>
      <x:c r="C131" s="33" t="str">
        <x:v>OBJ-02</x:v>
      </x:c>
      <x:c r="D131" s="33" t="str">
        <x:v>Produzir carrossel 5 do PACK-02</x:v>
      </x:c>
      <x:c r="E131" s="33" t="str">
        <x:v>PNG/JPG ou PDF; 1080×1350; 6–10 páginas. Revisão e arquivo final registrados.</x:v>
      </x:c>
      <x:c r="F131" s="33" t="str">
        <x:v>PACK-02</x:v>
      </x:c>
      <x:c r="G131" s="33" t="str">
        <x:v>CRS</x:v>
      </x:c>
      <x:c r="H131" s="33" t="str">
        <x:v>Obrigatório</x:v>
      </x:c>
      <x:c r="I131" s="34" t="str">
        <x:v>A confirmar</x:v>
      </x:c>
      <x:c r="J131" s="34" t="str">
        <x:v>A definir</x:v>
      </x:c>
      <x:c r="K131" s="35"/>
      <x:c r="L131" s="35"/>
      <x:c r="M131" s="35"/>
      <x:c r="N131" s="33" t="str">
        <x:v>PACK-02-ART-01;PACK-02-VID-01</x:v>
      </x:c>
      <x:c r="O131" s="33" t="str"/>
      <x:c r="P131" s="33" t="str">
        <x:v>GTM-03;GTM-05</x:v>
      </x:c>
      <x:c r="Q131" s="33" t="str">
        <x:v>11.2;2.6</x:v>
      </x:c>
      <x:c r="R131" s="33" t="str">
        <x:v>Decomposição proposta</x:v>
      </x:c>
      <x:c r="S131" s="34"/>
      <x:c r="T131" s="33" t="str">
        <x:f>IF(I131="Concluída",IF(OR(S131="",M131=""),"Falta evidência/data","Confirmada"),"Não confirmada")</x:f>
        <x:v>Não confirmada</x:v>
      </x:c>
      <x:c r="U131" s="33" t="str">
        <x:f>IF(T131="Confirmada","Concluída",IF(I131="Cancelada","Cancelada",IF(L131="","Sem prazo",IF(L131&lt;TODAY(),"Prazo vencido","No prazo"))))</x:f>
        <x:v>Sem prazo</x:v>
      </x:c>
      <x:c r="V131" s="34"/>
    </x:row>
    <x:row r="132" ht="62" customHeight="1">
      <x:c r="A132" s="33" t="str">
        <x:v>PACK-02-CRS-06</x:v>
      </x:c>
      <x:c r="B132" s="33" t="str">
        <x:v>AR-02</x:v>
      </x:c>
      <x:c r="C132" s="33" t="str">
        <x:v>OBJ-02</x:v>
      </x:c>
      <x:c r="D132" s="33" t="str">
        <x:v>Produzir carrossel 6 do PACK-02</x:v>
      </x:c>
      <x:c r="E132" s="33" t="str">
        <x:v>PNG/JPG ou PDF; 1080×1350; 6–10 páginas. Revisão e arquivo final registrados.</x:v>
      </x:c>
      <x:c r="F132" s="33" t="str">
        <x:v>PACK-02</x:v>
      </x:c>
      <x:c r="G132" s="33" t="str">
        <x:v>CRS</x:v>
      </x:c>
      <x:c r="H132" s="33" t="str">
        <x:v>Obrigatório</x:v>
      </x:c>
      <x:c r="I132" s="34" t="str">
        <x:v>A confirmar</x:v>
      </x:c>
      <x:c r="J132" s="34" t="str">
        <x:v>A definir</x:v>
      </x:c>
      <x:c r="K132" s="35"/>
      <x:c r="L132" s="35"/>
      <x:c r="M132" s="35"/>
      <x:c r="N132" s="33" t="str">
        <x:v>PACK-02-ART-01;PACK-02-VID-01</x:v>
      </x:c>
      <x:c r="O132" s="33" t="str"/>
      <x:c r="P132" s="33" t="str">
        <x:v>GTM-03;GTM-05</x:v>
      </x:c>
      <x:c r="Q132" s="33" t="str">
        <x:v>11.2;2.6</x:v>
      </x:c>
      <x:c r="R132" s="33" t="str">
        <x:v>Decomposição proposta</x:v>
      </x:c>
      <x:c r="S132" s="34"/>
      <x:c r="T132" s="33" t="str">
        <x:f>IF(I132="Concluída",IF(OR(S132="",M132=""),"Falta evidência/data","Confirmada"),"Não confirmada")</x:f>
        <x:v>Não confirmada</x:v>
      </x:c>
      <x:c r="U132" s="33" t="str">
        <x:f>IF(T132="Confirmada","Concluída",IF(I132="Cancelada","Cancelada",IF(L132="","Sem prazo",IF(L132&lt;TODAY(),"Prazo vencido","No prazo"))))</x:f>
        <x:v>Sem prazo</x:v>
      </x:c>
      <x:c r="V132" s="34"/>
    </x:row>
    <x:row r="133" ht="62" customHeight="1">
      <x:c r="A133" s="33" t="str">
        <x:v>PACK-02-IMG-01</x:v>
      </x:c>
      <x:c r="B133" s="33" t="str">
        <x:v>AR-02</x:v>
      </x:c>
      <x:c r="C133" s="33" t="str">
        <x:v>OBJ-02</x:v>
      </x:c>
      <x:c r="D133" s="33" t="str">
        <x:v>Produzir imagem estática 1 do PACK-02</x:v>
      </x:c>
      <x:c r="E133" s="33" t="str">
        <x:v>PNG/JPG; 1080×1350; alternativa 1080×1080. Revisão e arquivo final registrados.</x:v>
      </x:c>
      <x:c r="F133" s="33" t="str">
        <x:v>PACK-02</x:v>
      </x:c>
      <x:c r="G133" s="33" t="str">
        <x:v>IMG</x:v>
      </x:c>
      <x:c r="H133" s="33" t="str">
        <x:v>Obrigatório</x:v>
      </x:c>
      <x:c r="I133" s="34" t="str">
        <x:v>A confirmar</x:v>
      </x:c>
      <x:c r="J133" s="34" t="str">
        <x:v>A definir</x:v>
      </x:c>
      <x:c r="K133" s="35"/>
      <x:c r="L133" s="35"/>
      <x:c r="M133" s="35"/>
      <x:c r="N133" s="33" t="str">
        <x:v>PACK-02-ART-01;PACK-02-VID-01</x:v>
      </x:c>
      <x:c r="O133" s="33" t="str"/>
      <x:c r="P133" s="33" t="str">
        <x:v>GTM-03;GTM-05</x:v>
      </x:c>
      <x:c r="Q133" s="33" t="str">
        <x:v>11.2;2.6</x:v>
      </x:c>
      <x:c r="R133" s="33" t="str">
        <x:v>Decomposição proposta</x:v>
      </x:c>
      <x:c r="S133" s="34"/>
      <x:c r="T133" s="33" t="str">
        <x:f>IF(I133="Concluída",IF(OR(S133="",M133=""),"Falta evidência/data","Confirmada"),"Não confirmada")</x:f>
        <x:v>Não confirmada</x:v>
      </x:c>
      <x:c r="U133" s="33" t="str">
        <x:f>IF(T133="Confirmada","Concluída",IF(I133="Cancelada","Cancelada",IF(L133="","Sem prazo",IF(L133&lt;TODAY(),"Prazo vencido","No prazo"))))</x:f>
        <x:v>Sem prazo</x:v>
      </x:c>
      <x:c r="V133" s="34"/>
    </x:row>
    <x:row r="134" ht="62" customHeight="1">
      <x:c r="A134" s="33" t="str">
        <x:v>PACK-02-IMG-02</x:v>
      </x:c>
      <x:c r="B134" s="33" t="str">
        <x:v>AR-02</x:v>
      </x:c>
      <x:c r="C134" s="33" t="str">
        <x:v>OBJ-02</x:v>
      </x:c>
      <x:c r="D134" s="33" t="str">
        <x:v>Produzir imagem estática 2 do PACK-02</x:v>
      </x:c>
      <x:c r="E134" s="33" t="str">
        <x:v>PNG/JPG; 1080×1350; alternativa 1080×1080. Revisão e arquivo final registrados.</x:v>
      </x:c>
      <x:c r="F134" s="33" t="str">
        <x:v>PACK-02</x:v>
      </x:c>
      <x:c r="G134" s="33" t="str">
        <x:v>IMG</x:v>
      </x:c>
      <x:c r="H134" s="33" t="str">
        <x:v>Obrigatório</x:v>
      </x:c>
      <x:c r="I134" s="34" t="str">
        <x:v>A confirmar</x:v>
      </x:c>
      <x:c r="J134" s="34" t="str">
        <x:v>A definir</x:v>
      </x:c>
      <x:c r="K134" s="35"/>
      <x:c r="L134" s="35"/>
      <x:c r="M134" s="35"/>
      <x:c r="N134" s="33" t="str">
        <x:v>PACK-02-ART-01;PACK-02-VID-01</x:v>
      </x:c>
      <x:c r="O134" s="33" t="str"/>
      <x:c r="P134" s="33" t="str">
        <x:v>GTM-03;GTM-05</x:v>
      </x:c>
      <x:c r="Q134" s="33" t="str">
        <x:v>11.2;2.6</x:v>
      </x:c>
      <x:c r="R134" s="33" t="str">
        <x:v>Decomposição proposta</x:v>
      </x:c>
      <x:c r="S134" s="34"/>
      <x:c r="T134" s="33" t="str">
        <x:f>IF(I134="Concluída",IF(OR(S134="",M134=""),"Falta evidência/data","Confirmada"),"Não confirmada")</x:f>
        <x:v>Não confirmada</x:v>
      </x:c>
      <x:c r="U134" s="33" t="str">
        <x:f>IF(T134="Confirmada","Concluída",IF(I134="Cancelada","Cancelada",IF(L134="","Sem prazo",IF(L134&lt;TODAY(),"Prazo vencido","No prazo"))))</x:f>
        <x:v>Sem prazo</x:v>
      </x:c>
      <x:c r="V134" s="34"/>
    </x:row>
    <x:row r="135" ht="62" customHeight="1">
      <x:c r="A135" s="33" t="str">
        <x:v>PACK-02-IMG-03</x:v>
      </x:c>
      <x:c r="B135" s="33" t="str">
        <x:v>AR-02</x:v>
      </x:c>
      <x:c r="C135" s="33" t="str">
        <x:v>OBJ-02</x:v>
      </x:c>
      <x:c r="D135" s="33" t="str">
        <x:v>Produzir imagem estática 3 do PACK-02</x:v>
      </x:c>
      <x:c r="E135" s="33" t="str">
        <x:v>PNG/JPG; 1080×1350; alternativa 1080×1080. Revisão e arquivo final registrados.</x:v>
      </x:c>
      <x:c r="F135" s="33" t="str">
        <x:v>PACK-02</x:v>
      </x:c>
      <x:c r="G135" s="33" t="str">
        <x:v>IMG</x:v>
      </x:c>
      <x:c r="H135" s="33" t="str">
        <x:v>Obrigatório</x:v>
      </x:c>
      <x:c r="I135" s="34" t="str">
        <x:v>A confirmar</x:v>
      </x:c>
      <x:c r="J135" s="34" t="str">
        <x:v>A definir</x:v>
      </x:c>
      <x:c r="K135" s="35"/>
      <x:c r="L135" s="35"/>
      <x:c r="M135" s="35"/>
      <x:c r="N135" s="33" t="str">
        <x:v>PACK-02-ART-01;PACK-02-VID-01</x:v>
      </x:c>
      <x:c r="O135" s="33" t="str"/>
      <x:c r="P135" s="33" t="str">
        <x:v>GTM-03;GTM-05</x:v>
      </x:c>
      <x:c r="Q135" s="33" t="str">
        <x:v>11.2;2.6</x:v>
      </x:c>
      <x:c r="R135" s="33" t="str">
        <x:v>Decomposição proposta</x:v>
      </x:c>
      <x:c r="S135" s="34"/>
      <x:c r="T135" s="33" t="str">
        <x:f>IF(I135="Concluída",IF(OR(S135="",M135=""),"Falta evidência/data","Confirmada"),"Não confirmada")</x:f>
        <x:v>Não confirmada</x:v>
      </x:c>
      <x:c r="U135" s="33" t="str">
        <x:f>IF(T135="Confirmada","Concluída",IF(I135="Cancelada","Cancelada",IF(L135="","Sem prazo",IF(L135&lt;TODAY(),"Prazo vencido","No prazo"))))</x:f>
        <x:v>Sem prazo</x:v>
      </x:c>
      <x:c r="V135" s="34"/>
    </x:row>
    <x:row r="136" ht="62" customHeight="1">
      <x:c r="A136" s="33" t="str">
        <x:v>PACK-02-IMG-04</x:v>
      </x:c>
      <x:c r="B136" s="33" t="str">
        <x:v>AR-02</x:v>
      </x:c>
      <x:c r="C136" s="33" t="str">
        <x:v>OBJ-02</x:v>
      </x:c>
      <x:c r="D136" s="33" t="str">
        <x:v>Produzir imagem estática 4 do PACK-02</x:v>
      </x:c>
      <x:c r="E136" s="33" t="str">
        <x:v>PNG/JPG; 1080×1350; alternativa 1080×1080. Revisão e arquivo final registrados.</x:v>
      </x:c>
      <x:c r="F136" s="33" t="str">
        <x:v>PACK-02</x:v>
      </x:c>
      <x:c r="G136" s="33" t="str">
        <x:v>IMG</x:v>
      </x:c>
      <x:c r="H136" s="33" t="str">
        <x:v>Obrigatório</x:v>
      </x:c>
      <x:c r="I136" s="34" t="str">
        <x:v>A confirmar</x:v>
      </x:c>
      <x:c r="J136" s="34" t="str">
        <x:v>A definir</x:v>
      </x:c>
      <x:c r="K136" s="35"/>
      <x:c r="L136" s="35"/>
      <x:c r="M136" s="35"/>
      <x:c r="N136" s="33" t="str">
        <x:v>PACK-02-ART-01;PACK-02-VID-01</x:v>
      </x:c>
      <x:c r="O136" s="33" t="str"/>
      <x:c r="P136" s="33" t="str">
        <x:v>GTM-03;GTM-05</x:v>
      </x:c>
      <x:c r="Q136" s="33" t="str">
        <x:v>11.2;2.6</x:v>
      </x:c>
      <x:c r="R136" s="33" t="str">
        <x:v>Decomposição proposta</x:v>
      </x:c>
      <x:c r="S136" s="34"/>
      <x:c r="T136" s="33" t="str">
        <x:f>IF(I136="Concluída",IF(OR(S136="",M136=""),"Falta evidência/data","Confirmada"),"Não confirmada")</x:f>
        <x:v>Não confirmada</x:v>
      </x:c>
      <x:c r="U136" s="33" t="str">
        <x:f>IF(T136="Confirmada","Concluída",IF(I136="Cancelada","Cancelada",IF(L136="","Sem prazo",IF(L136&lt;TODAY(),"Prazo vencido","No prazo"))))</x:f>
        <x:v>Sem prazo</x:v>
      </x:c>
      <x:c r="V136" s="34"/>
    </x:row>
    <x:row r="137" ht="62" customHeight="1">
      <x:c r="A137" s="33" t="str">
        <x:v>PACK-02-IMG-05</x:v>
      </x:c>
      <x:c r="B137" s="33" t="str">
        <x:v>AR-02</x:v>
      </x:c>
      <x:c r="C137" s="33" t="str">
        <x:v>OBJ-02</x:v>
      </x:c>
      <x:c r="D137" s="33" t="str">
        <x:v>Produzir imagem estática 5 do PACK-02</x:v>
      </x:c>
      <x:c r="E137" s="33" t="str">
        <x:v>PNG/JPG; 1080×1350; alternativa 1080×1080. Revisão e arquivo final registrados.</x:v>
      </x:c>
      <x:c r="F137" s="33" t="str">
        <x:v>PACK-02</x:v>
      </x:c>
      <x:c r="G137" s="33" t="str">
        <x:v>IMG</x:v>
      </x:c>
      <x:c r="H137" s="33" t="str">
        <x:v>Obrigatório</x:v>
      </x:c>
      <x:c r="I137" s="34" t="str">
        <x:v>A confirmar</x:v>
      </x:c>
      <x:c r="J137" s="34" t="str">
        <x:v>A definir</x:v>
      </x:c>
      <x:c r="K137" s="35"/>
      <x:c r="L137" s="35"/>
      <x:c r="M137" s="35"/>
      <x:c r="N137" s="33" t="str">
        <x:v>PACK-02-ART-01;PACK-02-VID-01</x:v>
      </x:c>
      <x:c r="O137" s="33" t="str"/>
      <x:c r="P137" s="33" t="str">
        <x:v>GTM-03;GTM-05</x:v>
      </x:c>
      <x:c r="Q137" s="33" t="str">
        <x:v>11.2;2.6</x:v>
      </x:c>
      <x:c r="R137" s="33" t="str">
        <x:v>Decomposição proposta</x:v>
      </x:c>
      <x:c r="S137" s="34"/>
      <x:c r="T137" s="33" t="str">
        <x:f>IF(I137="Concluída",IF(OR(S137="",M137=""),"Falta evidência/data","Confirmada"),"Não confirmada")</x:f>
        <x:v>Não confirmada</x:v>
      </x:c>
      <x:c r="U137" s="33" t="str">
        <x:f>IF(T137="Confirmada","Concluída",IF(I137="Cancelada","Cancelada",IF(L137="","Sem prazo",IF(L137&lt;TODAY(),"Prazo vencido","No prazo"))))</x:f>
        <x:v>Sem prazo</x:v>
      </x:c>
      <x:c r="V137" s="34"/>
    </x:row>
    <x:row r="138" ht="62" customHeight="1">
      <x:c r="A138" s="33" t="str">
        <x:v>PACK-02-IMG-06</x:v>
      </x:c>
      <x:c r="B138" s="33" t="str">
        <x:v>AR-02</x:v>
      </x:c>
      <x:c r="C138" s="33" t="str">
        <x:v>OBJ-02</x:v>
      </x:c>
      <x:c r="D138" s="33" t="str">
        <x:v>Produzir imagem estática 6 do PACK-02</x:v>
      </x:c>
      <x:c r="E138" s="33" t="str">
        <x:v>PNG/JPG; 1080×1350; alternativa 1080×1080. Revisão e arquivo final registrados.</x:v>
      </x:c>
      <x:c r="F138" s="33" t="str">
        <x:v>PACK-02</x:v>
      </x:c>
      <x:c r="G138" s="33" t="str">
        <x:v>IMG</x:v>
      </x:c>
      <x:c r="H138" s="33" t="str">
        <x:v>Obrigatório</x:v>
      </x:c>
      <x:c r="I138" s="34" t="str">
        <x:v>A confirmar</x:v>
      </x:c>
      <x:c r="J138" s="34" t="str">
        <x:v>A definir</x:v>
      </x:c>
      <x:c r="K138" s="35"/>
      <x:c r="L138" s="35"/>
      <x:c r="M138" s="35"/>
      <x:c r="N138" s="33" t="str">
        <x:v>PACK-02-ART-01;PACK-02-VID-01</x:v>
      </x:c>
      <x:c r="O138" s="33" t="str"/>
      <x:c r="P138" s="33" t="str">
        <x:v>GTM-03;GTM-05</x:v>
      </x:c>
      <x:c r="Q138" s="33" t="str">
        <x:v>11.2;2.6</x:v>
      </x:c>
      <x:c r="R138" s="33" t="str">
        <x:v>Decomposição proposta</x:v>
      </x:c>
      <x:c r="S138" s="34"/>
      <x:c r="T138" s="33" t="str">
        <x:f>IF(I138="Concluída",IF(OR(S138="",M138=""),"Falta evidência/data","Confirmada"),"Não confirmada")</x:f>
        <x:v>Não confirmada</x:v>
      </x:c>
      <x:c r="U138" s="33" t="str">
        <x:f>IF(T138="Confirmada","Concluída",IF(I138="Cancelada","Cancelada",IF(L138="","Sem prazo",IF(L138&lt;TODAY(),"Prazo vencido","No prazo"))))</x:f>
        <x:v>Sem prazo</x:v>
      </x:c>
      <x:c r="V138" s="34"/>
    </x:row>
    <x:row r="139" ht="62" customHeight="1">
      <x:c r="A139" s="33" t="str">
        <x:v>PACK-02-INF-01</x:v>
      </x:c>
      <x:c r="B139" s="33" t="str">
        <x:v>AR-02</x:v>
      </x:c>
      <x:c r="C139" s="33" t="str">
        <x:v>OBJ-02</x:v>
      </x:c>
      <x:c r="D139" s="33" t="str">
        <x:v>Produzir infográfico 1 do PACK-02</x:v>
      </x:c>
      <x:c r="E139" s="33" t="str">
        <x:v>PNG/SVG; 1920×1080; processo, mapa ou framework. Revisão e arquivo final registrados.</x:v>
      </x:c>
      <x:c r="F139" s="33" t="str">
        <x:v>PACK-02</x:v>
      </x:c>
      <x:c r="G139" s="33" t="str">
        <x:v>INF</x:v>
      </x:c>
      <x:c r="H139" s="33" t="str">
        <x:v>Obrigatório</x:v>
      </x:c>
      <x:c r="I139" s="34" t="str">
        <x:v>A confirmar</x:v>
      </x:c>
      <x:c r="J139" s="34" t="str">
        <x:v>A definir</x:v>
      </x:c>
      <x:c r="K139" s="35"/>
      <x:c r="L139" s="35"/>
      <x:c r="M139" s="35"/>
      <x:c r="N139" s="33" t="str">
        <x:v>PACK-02-ART-01;PACK-02-VID-01</x:v>
      </x:c>
      <x:c r="O139" s="33" t="str"/>
      <x:c r="P139" s="33" t="str">
        <x:v>GTM-03;GTM-05</x:v>
      </x:c>
      <x:c r="Q139" s="33" t="str">
        <x:v>11.2;2.6</x:v>
      </x:c>
      <x:c r="R139" s="33" t="str">
        <x:v>Decomposição proposta</x:v>
      </x:c>
      <x:c r="S139" s="34"/>
      <x:c r="T139" s="33" t="str">
        <x:f>IF(I139="Concluída",IF(OR(S139="",M139=""),"Falta evidência/data","Confirmada"),"Não confirmada")</x:f>
        <x:v>Não confirmada</x:v>
      </x:c>
      <x:c r="U139" s="33" t="str">
        <x:f>IF(T139="Confirmada","Concluída",IF(I139="Cancelada","Cancelada",IF(L139="","Sem prazo",IF(L139&lt;TODAY(),"Prazo vencido","No prazo"))))</x:f>
        <x:v>Sem prazo</x:v>
      </x:c>
      <x:c r="V139" s="34"/>
    </x:row>
    <x:row r="140" ht="62" customHeight="1">
      <x:c r="A140" s="33" t="str">
        <x:v>PACK-02-INF-02</x:v>
      </x:c>
      <x:c r="B140" s="33" t="str">
        <x:v>AR-02</x:v>
      </x:c>
      <x:c r="C140" s="33" t="str">
        <x:v>OBJ-02</x:v>
      </x:c>
      <x:c r="D140" s="33" t="str">
        <x:v>Produzir infográfico 2 do PACK-02</x:v>
      </x:c>
      <x:c r="E140" s="33" t="str">
        <x:v>PNG/SVG; 1920×1080; processo, mapa ou framework. Revisão e arquivo final registrados.</x:v>
      </x:c>
      <x:c r="F140" s="33" t="str">
        <x:v>PACK-02</x:v>
      </x:c>
      <x:c r="G140" s="33" t="str">
        <x:v>INF</x:v>
      </x:c>
      <x:c r="H140" s="33" t="str">
        <x:v>Obrigatório</x:v>
      </x:c>
      <x:c r="I140" s="34" t="str">
        <x:v>A confirmar</x:v>
      </x:c>
      <x:c r="J140" s="34" t="str">
        <x:v>A definir</x:v>
      </x:c>
      <x:c r="K140" s="35"/>
      <x:c r="L140" s="35"/>
      <x:c r="M140" s="35"/>
      <x:c r="N140" s="33" t="str">
        <x:v>PACK-02-ART-01;PACK-02-VID-01</x:v>
      </x:c>
      <x:c r="O140" s="33" t="str"/>
      <x:c r="P140" s="33" t="str">
        <x:v>GTM-03;GTM-05</x:v>
      </x:c>
      <x:c r="Q140" s="33" t="str">
        <x:v>11.2;2.6</x:v>
      </x:c>
      <x:c r="R140" s="33" t="str">
        <x:v>Decomposição proposta</x:v>
      </x:c>
      <x:c r="S140" s="34"/>
      <x:c r="T140" s="33" t="str">
        <x:f>IF(I140="Concluída",IF(OR(S140="",M140=""),"Falta evidência/data","Confirmada"),"Não confirmada")</x:f>
        <x:v>Não confirmada</x:v>
      </x:c>
      <x:c r="U140" s="33" t="str">
        <x:f>IF(T140="Confirmada","Concluída",IF(I140="Cancelada","Cancelada",IF(L140="","Sem prazo",IF(L140&lt;TODAY(),"Prazo vencido","No prazo"))))</x:f>
        <x:v>Sem prazo</x:v>
      </x:c>
      <x:c r="V140" s="34"/>
    </x:row>
    <x:row r="141" ht="62" customHeight="1">
      <x:c r="A141" s="33" t="str">
        <x:v>PACK-02-INF-03</x:v>
      </x:c>
      <x:c r="B141" s="33" t="str">
        <x:v>AR-02</x:v>
      </x:c>
      <x:c r="C141" s="33" t="str">
        <x:v>OBJ-02</x:v>
      </x:c>
      <x:c r="D141" s="33" t="str">
        <x:v>Produzir infográfico 3 do PACK-02</x:v>
      </x:c>
      <x:c r="E141" s="33" t="str">
        <x:v>PNG/SVG; 1920×1080; processo, mapa ou framework. Revisão e arquivo final registrados.</x:v>
      </x:c>
      <x:c r="F141" s="33" t="str">
        <x:v>PACK-02</x:v>
      </x:c>
      <x:c r="G141" s="33" t="str">
        <x:v>INF</x:v>
      </x:c>
      <x:c r="H141" s="33" t="str">
        <x:v>Obrigatório</x:v>
      </x:c>
      <x:c r="I141" s="34" t="str">
        <x:v>A confirmar</x:v>
      </x:c>
      <x:c r="J141" s="34" t="str">
        <x:v>A definir</x:v>
      </x:c>
      <x:c r="K141" s="35"/>
      <x:c r="L141" s="35"/>
      <x:c r="M141" s="35"/>
      <x:c r="N141" s="33" t="str">
        <x:v>PACK-02-ART-01;PACK-02-VID-01</x:v>
      </x:c>
      <x:c r="O141" s="33" t="str"/>
      <x:c r="P141" s="33" t="str">
        <x:v>GTM-03;GTM-05</x:v>
      </x:c>
      <x:c r="Q141" s="33" t="str">
        <x:v>11.2;2.6</x:v>
      </x:c>
      <x:c r="R141" s="33" t="str">
        <x:v>Decomposição proposta</x:v>
      </x:c>
      <x:c r="S141" s="34"/>
      <x:c r="T141" s="33" t="str">
        <x:f>IF(I141="Concluída",IF(OR(S141="",M141=""),"Falta evidência/data","Confirmada"),"Não confirmada")</x:f>
        <x:v>Não confirmada</x:v>
      </x:c>
      <x:c r="U141" s="33" t="str">
        <x:f>IF(T141="Confirmada","Concluída",IF(I141="Cancelada","Cancelada",IF(L141="","Sem prazo",IF(L141&lt;TODAY(),"Prazo vencido","No prazo"))))</x:f>
        <x:v>Sem prazo</x:v>
      </x:c>
      <x:c r="V141" s="34"/>
    </x:row>
    <x:row r="142" ht="62" customHeight="1">
      <x:c r="A142" s="33" t="str">
        <x:v>PACK-02-STR-01</x:v>
      </x:c>
      <x:c r="B142" s="33" t="str">
        <x:v>AR-02</x:v>
      </x:c>
      <x:c r="C142" s="33" t="str">
        <x:v>OBJ-02</x:v>
      </x:c>
      <x:c r="D142" s="33" t="str">
        <x:v>Produzir story 1 do PACK-02</x:v>
      </x:c>
      <x:c r="E142" s="33" t="str">
        <x:v>Imagem/vídeo; 1080×1920; sequência modular. Revisão e arquivo final registrados.</x:v>
      </x:c>
      <x:c r="F142" s="33" t="str">
        <x:v>PACK-02</x:v>
      </x:c>
      <x:c r="G142" s="33" t="str">
        <x:v>STR</x:v>
      </x:c>
      <x:c r="H142" s="33" t="str">
        <x:v>Obrigatório</x:v>
      </x:c>
      <x:c r="I142" s="34" t="str">
        <x:v>A confirmar</x:v>
      </x:c>
      <x:c r="J142" s="34" t="str">
        <x:v>A definir</x:v>
      </x:c>
      <x:c r="K142" s="35"/>
      <x:c r="L142" s="35"/>
      <x:c r="M142" s="35"/>
      <x:c r="N142" s="33" t="str">
        <x:v>PACK-02-ART-01;PACK-02-VID-01</x:v>
      </x:c>
      <x:c r="O142" s="33" t="str"/>
      <x:c r="P142" s="33" t="str">
        <x:v>GTM-03;GTM-05</x:v>
      </x:c>
      <x:c r="Q142" s="33" t="str">
        <x:v>11.2;2.6</x:v>
      </x:c>
      <x:c r="R142" s="33" t="str">
        <x:v>Decomposição proposta</x:v>
      </x:c>
      <x:c r="S142" s="34"/>
      <x:c r="T142" s="33" t="str">
        <x:f>IF(I142="Concluída",IF(OR(S142="",M142=""),"Falta evidência/data","Confirmada"),"Não confirmada")</x:f>
        <x:v>Não confirmada</x:v>
      </x:c>
      <x:c r="U142" s="33" t="str">
        <x:f>IF(T142="Confirmada","Concluída",IF(I142="Cancelada","Cancelada",IF(L142="","Sem prazo",IF(L142&lt;TODAY(),"Prazo vencido","No prazo"))))</x:f>
        <x:v>Sem prazo</x:v>
      </x:c>
      <x:c r="V142" s="34"/>
    </x:row>
    <x:row r="143" ht="62" customHeight="1">
      <x:c r="A143" s="33" t="str">
        <x:v>PACK-02-STR-02</x:v>
      </x:c>
      <x:c r="B143" s="33" t="str">
        <x:v>AR-02</x:v>
      </x:c>
      <x:c r="C143" s="33" t="str">
        <x:v>OBJ-02</x:v>
      </x:c>
      <x:c r="D143" s="33" t="str">
        <x:v>Produzir story 2 do PACK-02</x:v>
      </x:c>
      <x:c r="E143" s="33" t="str">
        <x:v>Imagem/vídeo; 1080×1920; sequência modular. Revisão e arquivo final registrados.</x:v>
      </x:c>
      <x:c r="F143" s="33" t="str">
        <x:v>PACK-02</x:v>
      </x:c>
      <x:c r="G143" s="33" t="str">
        <x:v>STR</x:v>
      </x:c>
      <x:c r="H143" s="33" t="str">
        <x:v>Obrigatório</x:v>
      </x:c>
      <x:c r="I143" s="34" t="str">
        <x:v>A confirmar</x:v>
      </x:c>
      <x:c r="J143" s="34" t="str">
        <x:v>A definir</x:v>
      </x:c>
      <x:c r="K143" s="35"/>
      <x:c r="L143" s="35"/>
      <x:c r="M143" s="35"/>
      <x:c r="N143" s="33" t="str">
        <x:v>PACK-02-ART-01;PACK-02-VID-01</x:v>
      </x:c>
      <x:c r="O143" s="33" t="str"/>
      <x:c r="P143" s="33" t="str">
        <x:v>GTM-03;GTM-05</x:v>
      </x:c>
      <x:c r="Q143" s="33" t="str">
        <x:v>11.2;2.6</x:v>
      </x:c>
      <x:c r="R143" s="33" t="str">
        <x:v>Decomposição proposta</x:v>
      </x:c>
      <x:c r="S143" s="34"/>
      <x:c r="T143" s="33" t="str">
        <x:f>IF(I143="Concluída",IF(OR(S143="",M143=""),"Falta evidência/data","Confirmada"),"Não confirmada")</x:f>
        <x:v>Não confirmada</x:v>
      </x:c>
      <x:c r="U143" s="33" t="str">
        <x:f>IF(T143="Confirmada","Concluída",IF(I143="Cancelada","Cancelada",IF(L143="","Sem prazo",IF(L143&lt;TODAY(),"Prazo vencido","No prazo"))))</x:f>
        <x:v>Sem prazo</x:v>
      </x:c>
      <x:c r="V143" s="34"/>
    </x:row>
    <x:row r="144" ht="62" customHeight="1">
      <x:c r="A144" s="33" t="str">
        <x:v>PACK-02-STR-03</x:v>
      </x:c>
      <x:c r="B144" s="33" t="str">
        <x:v>AR-02</x:v>
      </x:c>
      <x:c r="C144" s="33" t="str">
        <x:v>OBJ-02</x:v>
      </x:c>
      <x:c r="D144" s="33" t="str">
        <x:v>Produzir story 3 do PACK-02</x:v>
      </x:c>
      <x:c r="E144" s="33" t="str">
        <x:v>Imagem/vídeo; 1080×1920; sequência modular. Revisão e arquivo final registrados.</x:v>
      </x:c>
      <x:c r="F144" s="33" t="str">
        <x:v>PACK-02</x:v>
      </x:c>
      <x:c r="G144" s="33" t="str">
        <x:v>STR</x:v>
      </x:c>
      <x:c r="H144" s="33" t="str">
        <x:v>Obrigatório</x:v>
      </x:c>
      <x:c r="I144" s="34" t="str">
        <x:v>A confirmar</x:v>
      </x:c>
      <x:c r="J144" s="34" t="str">
        <x:v>A definir</x:v>
      </x:c>
      <x:c r="K144" s="35"/>
      <x:c r="L144" s="35"/>
      <x:c r="M144" s="35"/>
      <x:c r="N144" s="33" t="str">
        <x:v>PACK-02-ART-01;PACK-02-VID-01</x:v>
      </x:c>
      <x:c r="O144" s="33" t="str"/>
      <x:c r="P144" s="33" t="str">
        <x:v>GTM-03;GTM-05</x:v>
      </x:c>
      <x:c r="Q144" s="33" t="str">
        <x:v>11.2;2.6</x:v>
      </x:c>
      <x:c r="R144" s="33" t="str">
        <x:v>Decomposição proposta</x:v>
      </x:c>
      <x:c r="S144" s="34"/>
      <x:c r="T144" s="33" t="str">
        <x:f>IF(I144="Concluída",IF(OR(S144="",M144=""),"Falta evidência/data","Confirmada"),"Não confirmada")</x:f>
        <x:v>Não confirmada</x:v>
      </x:c>
      <x:c r="U144" s="33" t="str">
        <x:f>IF(T144="Confirmada","Concluída",IF(I144="Cancelada","Cancelada",IF(L144="","Sem prazo",IF(L144&lt;TODAY(),"Prazo vencido","No prazo"))))</x:f>
        <x:v>Sem prazo</x:v>
      </x:c>
      <x:c r="V144" s="34"/>
    </x:row>
    <x:row r="145" ht="62" customHeight="1">
      <x:c r="A145" s="33" t="str">
        <x:v>PACK-02-STR-04</x:v>
      </x:c>
      <x:c r="B145" s="33" t="str">
        <x:v>AR-02</x:v>
      </x:c>
      <x:c r="C145" s="33" t="str">
        <x:v>OBJ-02</x:v>
      </x:c>
      <x:c r="D145" s="33" t="str">
        <x:v>Produzir story 4 do PACK-02</x:v>
      </x:c>
      <x:c r="E145" s="33" t="str">
        <x:v>Imagem/vídeo; 1080×1920; sequência modular. Revisão e arquivo final registrados.</x:v>
      </x:c>
      <x:c r="F145" s="33" t="str">
        <x:v>PACK-02</x:v>
      </x:c>
      <x:c r="G145" s="33" t="str">
        <x:v>STR</x:v>
      </x:c>
      <x:c r="H145" s="33" t="str">
        <x:v>Obrigatório</x:v>
      </x:c>
      <x:c r="I145" s="34" t="str">
        <x:v>A confirmar</x:v>
      </x:c>
      <x:c r="J145" s="34" t="str">
        <x:v>A definir</x:v>
      </x:c>
      <x:c r="K145" s="35"/>
      <x:c r="L145" s="35"/>
      <x:c r="M145" s="35"/>
      <x:c r="N145" s="33" t="str">
        <x:v>PACK-02-ART-01;PACK-02-VID-01</x:v>
      </x:c>
      <x:c r="O145" s="33" t="str"/>
      <x:c r="P145" s="33" t="str">
        <x:v>GTM-03;GTM-05</x:v>
      </x:c>
      <x:c r="Q145" s="33" t="str">
        <x:v>11.2;2.6</x:v>
      </x:c>
      <x:c r="R145" s="33" t="str">
        <x:v>Decomposição proposta</x:v>
      </x:c>
      <x:c r="S145" s="34"/>
      <x:c r="T145" s="33" t="str">
        <x:f>IF(I145="Concluída",IF(OR(S145="",M145=""),"Falta evidência/data","Confirmada"),"Não confirmada")</x:f>
        <x:v>Não confirmada</x:v>
      </x:c>
      <x:c r="U145" s="33" t="str">
        <x:f>IF(T145="Confirmada","Concluída",IF(I145="Cancelada","Cancelada",IF(L145="","Sem prazo",IF(L145&lt;TODAY(),"Prazo vencido","No prazo"))))</x:f>
        <x:v>Sem prazo</x:v>
      </x:c>
      <x:c r="V145" s="34"/>
    </x:row>
    <x:row r="146" ht="62" customHeight="1">
      <x:c r="A146" s="33" t="str">
        <x:v>PACK-02-STR-05</x:v>
      </x:c>
      <x:c r="B146" s="33" t="str">
        <x:v>AR-02</x:v>
      </x:c>
      <x:c r="C146" s="33" t="str">
        <x:v>OBJ-02</x:v>
      </x:c>
      <x:c r="D146" s="33" t="str">
        <x:v>Produzir story 5 do PACK-02</x:v>
      </x:c>
      <x:c r="E146" s="33" t="str">
        <x:v>Imagem/vídeo; 1080×1920; sequência modular. Revisão e arquivo final registrados.</x:v>
      </x:c>
      <x:c r="F146" s="33" t="str">
        <x:v>PACK-02</x:v>
      </x:c>
      <x:c r="G146" s="33" t="str">
        <x:v>STR</x:v>
      </x:c>
      <x:c r="H146" s="33" t="str">
        <x:v>Obrigatório</x:v>
      </x:c>
      <x:c r="I146" s="34" t="str">
        <x:v>A confirmar</x:v>
      </x:c>
      <x:c r="J146" s="34" t="str">
        <x:v>A definir</x:v>
      </x:c>
      <x:c r="K146" s="35"/>
      <x:c r="L146" s="35"/>
      <x:c r="M146" s="35"/>
      <x:c r="N146" s="33" t="str">
        <x:v>PACK-02-ART-01;PACK-02-VID-01</x:v>
      </x:c>
      <x:c r="O146" s="33" t="str"/>
      <x:c r="P146" s="33" t="str">
        <x:v>GTM-03;GTM-05</x:v>
      </x:c>
      <x:c r="Q146" s="33" t="str">
        <x:v>11.2;2.6</x:v>
      </x:c>
      <x:c r="R146" s="33" t="str">
        <x:v>Decomposição proposta</x:v>
      </x:c>
      <x:c r="S146" s="34"/>
      <x:c r="T146" s="33" t="str">
        <x:f>IF(I146="Concluída",IF(OR(S146="",M146=""),"Falta evidência/data","Confirmada"),"Não confirmada")</x:f>
        <x:v>Não confirmada</x:v>
      </x:c>
      <x:c r="U146" s="33" t="str">
        <x:f>IF(T146="Confirmada","Concluída",IF(I146="Cancelada","Cancelada",IF(L146="","Sem prazo",IF(L146&lt;TODAY(),"Prazo vencido","No prazo"))))</x:f>
        <x:v>Sem prazo</x:v>
      </x:c>
      <x:c r="V146" s="34"/>
    </x:row>
    <x:row r="147" ht="62" customHeight="1">
      <x:c r="A147" s="33" t="str">
        <x:v>PACK-02-STR-06</x:v>
      </x:c>
      <x:c r="B147" s="33" t="str">
        <x:v>AR-02</x:v>
      </x:c>
      <x:c r="C147" s="33" t="str">
        <x:v>OBJ-02</x:v>
      </x:c>
      <x:c r="D147" s="33" t="str">
        <x:v>Produzir story 6 do PACK-02</x:v>
      </x:c>
      <x:c r="E147" s="33" t="str">
        <x:v>Imagem/vídeo; 1080×1920; sequência modular. Revisão e arquivo final registrados.</x:v>
      </x:c>
      <x:c r="F147" s="33" t="str">
        <x:v>PACK-02</x:v>
      </x:c>
      <x:c r="G147" s="33" t="str">
        <x:v>STR</x:v>
      </x:c>
      <x:c r="H147" s="33" t="str">
        <x:v>Obrigatório</x:v>
      </x:c>
      <x:c r="I147" s="34" t="str">
        <x:v>A confirmar</x:v>
      </x:c>
      <x:c r="J147" s="34" t="str">
        <x:v>A definir</x:v>
      </x:c>
      <x:c r="K147" s="35"/>
      <x:c r="L147" s="35"/>
      <x:c r="M147" s="35"/>
      <x:c r="N147" s="33" t="str">
        <x:v>PACK-02-ART-01;PACK-02-VID-01</x:v>
      </x:c>
      <x:c r="O147" s="33" t="str"/>
      <x:c r="P147" s="33" t="str">
        <x:v>GTM-03;GTM-05</x:v>
      </x:c>
      <x:c r="Q147" s="33" t="str">
        <x:v>11.2;2.6</x:v>
      </x:c>
      <x:c r="R147" s="33" t="str">
        <x:v>Decomposição proposta</x:v>
      </x:c>
      <x:c r="S147" s="34"/>
      <x:c r="T147" s="33" t="str">
        <x:f>IF(I147="Concluída",IF(OR(S147="",M147=""),"Falta evidência/data","Confirmada"),"Não confirmada")</x:f>
        <x:v>Não confirmada</x:v>
      </x:c>
      <x:c r="U147" s="33" t="str">
        <x:f>IF(T147="Confirmada","Concluída",IF(I147="Cancelada","Cancelada",IF(L147="","Sem prazo",IF(L147&lt;TODAY(),"Prazo vencido","No prazo"))))</x:f>
        <x:v>Sem prazo</x:v>
      </x:c>
      <x:c r="V147" s="34"/>
    </x:row>
    <x:row r="148" ht="62" customHeight="1">
      <x:c r="A148" s="33" t="str">
        <x:v>PACK-02-STR-07</x:v>
      </x:c>
      <x:c r="B148" s="33" t="str">
        <x:v>AR-02</x:v>
      </x:c>
      <x:c r="C148" s="33" t="str">
        <x:v>OBJ-02</x:v>
      </x:c>
      <x:c r="D148" s="33" t="str">
        <x:v>Produzir story 7 do PACK-02</x:v>
      </x:c>
      <x:c r="E148" s="33" t="str">
        <x:v>Imagem/vídeo; 1080×1920; sequência modular. Revisão e arquivo final registrados.</x:v>
      </x:c>
      <x:c r="F148" s="33" t="str">
        <x:v>PACK-02</x:v>
      </x:c>
      <x:c r="G148" s="33" t="str">
        <x:v>STR</x:v>
      </x:c>
      <x:c r="H148" s="33" t="str">
        <x:v>Obrigatório</x:v>
      </x:c>
      <x:c r="I148" s="34" t="str">
        <x:v>A confirmar</x:v>
      </x:c>
      <x:c r="J148" s="34" t="str">
        <x:v>A definir</x:v>
      </x:c>
      <x:c r="K148" s="35"/>
      <x:c r="L148" s="35"/>
      <x:c r="M148" s="35"/>
      <x:c r="N148" s="33" t="str">
        <x:v>PACK-02-ART-01;PACK-02-VID-01</x:v>
      </x:c>
      <x:c r="O148" s="33" t="str"/>
      <x:c r="P148" s="33" t="str">
        <x:v>GTM-03;GTM-05</x:v>
      </x:c>
      <x:c r="Q148" s="33" t="str">
        <x:v>11.2;2.6</x:v>
      </x:c>
      <x:c r="R148" s="33" t="str">
        <x:v>Decomposição proposta</x:v>
      </x:c>
      <x:c r="S148" s="34"/>
      <x:c r="T148" s="33" t="str">
        <x:f>IF(I148="Concluída",IF(OR(S148="",M148=""),"Falta evidência/data","Confirmada"),"Não confirmada")</x:f>
        <x:v>Não confirmada</x:v>
      </x:c>
      <x:c r="U148" s="33" t="str">
        <x:f>IF(T148="Confirmada","Concluída",IF(I148="Cancelada","Cancelada",IF(L148="","Sem prazo",IF(L148&lt;TODAY(),"Prazo vencido","No prazo"))))</x:f>
        <x:v>Sem prazo</x:v>
      </x:c>
      <x:c r="V148" s="34"/>
    </x:row>
    <x:row r="149" ht="62" customHeight="1">
      <x:c r="A149" s="33" t="str">
        <x:v>PACK-02-STR-08</x:v>
      </x:c>
      <x:c r="B149" s="33" t="str">
        <x:v>AR-02</x:v>
      </x:c>
      <x:c r="C149" s="33" t="str">
        <x:v>OBJ-02</x:v>
      </x:c>
      <x:c r="D149" s="33" t="str">
        <x:v>Produzir story 8 do PACK-02</x:v>
      </x:c>
      <x:c r="E149" s="33" t="str">
        <x:v>Imagem/vídeo; 1080×1920; sequência modular. Revisão e arquivo final registrados.</x:v>
      </x:c>
      <x:c r="F149" s="33" t="str">
        <x:v>PACK-02</x:v>
      </x:c>
      <x:c r="G149" s="33" t="str">
        <x:v>STR</x:v>
      </x:c>
      <x:c r="H149" s="33" t="str">
        <x:v>Obrigatório</x:v>
      </x:c>
      <x:c r="I149" s="34" t="str">
        <x:v>A confirmar</x:v>
      </x:c>
      <x:c r="J149" s="34" t="str">
        <x:v>A definir</x:v>
      </x:c>
      <x:c r="K149" s="35"/>
      <x:c r="L149" s="35"/>
      <x:c r="M149" s="35"/>
      <x:c r="N149" s="33" t="str">
        <x:v>PACK-02-ART-01;PACK-02-VID-01</x:v>
      </x:c>
      <x:c r="O149" s="33" t="str"/>
      <x:c r="P149" s="33" t="str">
        <x:v>GTM-03;GTM-05</x:v>
      </x:c>
      <x:c r="Q149" s="33" t="str">
        <x:v>11.2;2.6</x:v>
      </x:c>
      <x:c r="R149" s="33" t="str">
        <x:v>Decomposição proposta</x:v>
      </x:c>
      <x:c r="S149" s="34"/>
      <x:c r="T149" s="33" t="str">
        <x:f>IF(I149="Concluída",IF(OR(S149="",M149=""),"Falta evidência/data","Confirmada"),"Não confirmada")</x:f>
        <x:v>Não confirmada</x:v>
      </x:c>
      <x:c r="U149" s="33" t="str">
        <x:f>IF(T149="Confirmada","Concluída",IF(I149="Cancelada","Cancelada",IF(L149="","Sem prazo",IF(L149&lt;TODAY(),"Prazo vencido","No prazo"))))</x:f>
        <x:v>Sem prazo</x:v>
      </x:c>
      <x:c r="V149" s="34"/>
    </x:row>
    <x:row r="150" ht="62" customHeight="1">
      <x:c r="A150" s="33" t="str">
        <x:v>PACK-02-STR-09</x:v>
      </x:c>
      <x:c r="B150" s="33" t="str">
        <x:v>AR-02</x:v>
      </x:c>
      <x:c r="C150" s="33" t="str">
        <x:v>OBJ-02</x:v>
      </x:c>
      <x:c r="D150" s="33" t="str">
        <x:v>Produzir story 9 do PACK-02</x:v>
      </x:c>
      <x:c r="E150" s="33" t="str">
        <x:v>Imagem/vídeo; 1080×1920; sequência modular. Revisão e arquivo final registrados.</x:v>
      </x:c>
      <x:c r="F150" s="33" t="str">
        <x:v>PACK-02</x:v>
      </x:c>
      <x:c r="G150" s="33" t="str">
        <x:v>STR</x:v>
      </x:c>
      <x:c r="H150" s="33" t="str">
        <x:v>Obrigatório</x:v>
      </x:c>
      <x:c r="I150" s="34" t="str">
        <x:v>A confirmar</x:v>
      </x:c>
      <x:c r="J150" s="34" t="str">
        <x:v>A definir</x:v>
      </x:c>
      <x:c r="K150" s="35"/>
      <x:c r="L150" s="35"/>
      <x:c r="M150" s="35"/>
      <x:c r="N150" s="33" t="str">
        <x:v>PACK-02-ART-01;PACK-02-VID-01</x:v>
      </x:c>
      <x:c r="O150" s="33" t="str"/>
      <x:c r="P150" s="33" t="str">
        <x:v>GTM-03;GTM-05</x:v>
      </x:c>
      <x:c r="Q150" s="33" t="str">
        <x:v>11.2;2.6</x:v>
      </x:c>
      <x:c r="R150" s="33" t="str">
        <x:v>Decomposição proposta</x:v>
      </x:c>
      <x:c r="S150" s="34"/>
      <x:c r="T150" s="33" t="str">
        <x:f>IF(I150="Concluída",IF(OR(S150="",M150=""),"Falta evidência/data","Confirmada"),"Não confirmada")</x:f>
        <x:v>Não confirmada</x:v>
      </x:c>
      <x:c r="U150" s="33" t="str">
        <x:f>IF(T150="Confirmada","Concluída",IF(I150="Cancelada","Cancelada",IF(L150="","Sem prazo",IF(L150&lt;TODAY(),"Prazo vencido","No prazo"))))</x:f>
        <x:v>Sem prazo</x:v>
      </x:c>
      <x:c r="V150" s="34"/>
    </x:row>
    <x:row r="151" ht="62" customHeight="1">
      <x:c r="A151" s="33" t="str">
        <x:v>PACK-02-STR-10</x:v>
      </x:c>
      <x:c r="B151" s="33" t="str">
        <x:v>AR-02</x:v>
      </x:c>
      <x:c r="C151" s="33" t="str">
        <x:v>OBJ-02</x:v>
      </x:c>
      <x:c r="D151" s="33" t="str">
        <x:v>Produzir story 10 do PACK-02</x:v>
      </x:c>
      <x:c r="E151" s="33" t="str">
        <x:v>Imagem/vídeo; 1080×1920; sequência modular. Revisão e arquivo final registrados.</x:v>
      </x:c>
      <x:c r="F151" s="33" t="str">
        <x:v>PACK-02</x:v>
      </x:c>
      <x:c r="G151" s="33" t="str">
        <x:v>STR</x:v>
      </x:c>
      <x:c r="H151" s="33" t="str">
        <x:v>Obrigatório</x:v>
      </x:c>
      <x:c r="I151" s="34" t="str">
        <x:v>A confirmar</x:v>
      </x:c>
      <x:c r="J151" s="34" t="str">
        <x:v>A definir</x:v>
      </x:c>
      <x:c r="K151" s="35"/>
      <x:c r="L151" s="35"/>
      <x:c r="M151" s="35"/>
      <x:c r="N151" s="33" t="str">
        <x:v>PACK-02-ART-01;PACK-02-VID-01</x:v>
      </x:c>
      <x:c r="O151" s="33" t="str"/>
      <x:c r="P151" s="33" t="str">
        <x:v>GTM-03;GTM-05</x:v>
      </x:c>
      <x:c r="Q151" s="33" t="str">
        <x:v>11.2;2.6</x:v>
      </x:c>
      <x:c r="R151" s="33" t="str">
        <x:v>Decomposição proposta</x:v>
      </x:c>
      <x:c r="S151" s="34"/>
      <x:c r="T151" s="33" t="str">
        <x:f>IF(I151="Concluída",IF(OR(S151="",M151=""),"Falta evidência/data","Confirmada"),"Não confirmada")</x:f>
        <x:v>Não confirmada</x:v>
      </x:c>
      <x:c r="U151" s="33" t="str">
        <x:f>IF(T151="Confirmada","Concluída",IF(I151="Cancelada","Cancelada",IF(L151="","Sem prazo",IF(L151&lt;TODAY(),"Prazo vencido","No prazo"))))</x:f>
        <x:v>Sem prazo</x:v>
      </x:c>
      <x:c r="V151" s="34"/>
    </x:row>
    <x:row r="152" ht="62" customHeight="1">
      <x:c r="A152" s="33" t="str">
        <x:v>PACK-02-STR-11</x:v>
      </x:c>
      <x:c r="B152" s="33" t="str">
        <x:v>AR-02</x:v>
      </x:c>
      <x:c r="C152" s="33" t="str">
        <x:v>OBJ-02</x:v>
      </x:c>
      <x:c r="D152" s="33" t="str">
        <x:v>Produzir story 11 do PACK-02</x:v>
      </x:c>
      <x:c r="E152" s="33" t="str">
        <x:v>Imagem/vídeo; 1080×1920; sequência modular. Revisão e arquivo final registrados.</x:v>
      </x:c>
      <x:c r="F152" s="33" t="str">
        <x:v>PACK-02</x:v>
      </x:c>
      <x:c r="G152" s="33" t="str">
        <x:v>STR</x:v>
      </x:c>
      <x:c r="H152" s="33" t="str">
        <x:v>Opcional</x:v>
      </x:c>
      <x:c r="I152" s="34" t="str">
        <x:v>A confirmar</x:v>
      </x:c>
      <x:c r="J152" s="34" t="str">
        <x:v>A definir</x:v>
      </x:c>
      <x:c r="K152" s="35"/>
      <x:c r="L152" s="35"/>
      <x:c r="M152" s="35"/>
      <x:c r="N152" s="33" t="str">
        <x:v>PACK-02-ART-01;PACK-02-VID-01</x:v>
      </x:c>
      <x:c r="O152" s="33" t="str"/>
      <x:c r="P152" s="33" t="str">
        <x:v>GTM-03;GTM-05</x:v>
      </x:c>
      <x:c r="Q152" s="33" t="str">
        <x:v>11.2;2.6</x:v>
      </x:c>
      <x:c r="R152" s="33" t="str">
        <x:v>Decomposição proposta</x:v>
      </x:c>
      <x:c r="S152" s="34"/>
      <x:c r="T152" s="33" t="str">
        <x:f>IF(I152="Concluída",IF(OR(S152="",M152=""),"Falta evidência/data","Confirmada"),"Não confirmada")</x:f>
        <x:v>Não confirmada</x:v>
      </x:c>
      <x:c r="U152" s="33" t="str">
        <x:f>IF(T152="Confirmada","Concluída",IF(I152="Cancelada","Cancelada",IF(L152="","Sem prazo",IF(L152&lt;TODAY(),"Prazo vencido","No prazo"))))</x:f>
        <x:v>Sem prazo</x:v>
      </x:c>
      <x:c r="V152" s="34"/>
    </x:row>
    <x:row r="153" ht="62" customHeight="1">
      <x:c r="A153" s="33" t="str">
        <x:v>PACK-02-STR-12</x:v>
      </x:c>
      <x:c r="B153" s="33" t="str">
        <x:v>AR-02</x:v>
      </x:c>
      <x:c r="C153" s="33" t="str">
        <x:v>OBJ-02</x:v>
      </x:c>
      <x:c r="D153" s="33" t="str">
        <x:v>Produzir story 12 do PACK-02</x:v>
      </x:c>
      <x:c r="E153" s="33" t="str">
        <x:v>Imagem/vídeo; 1080×1920; sequência modular. Revisão e arquivo final registrados.</x:v>
      </x:c>
      <x:c r="F153" s="33" t="str">
        <x:v>PACK-02</x:v>
      </x:c>
      <x:c r="G153" s="33" t="str">
        <x:v>STR</x:v>
      </x:c>
      <x:c r="H153" s="33" t="str">
        <x:v>Opcional</x:v>
      </x:c>
      <x:c r="I153" s="34" t="str">
        <x:v>A confirmar</x:v>
      </x:c>
      <x:c r="J153" s="34" t="str">
        <x:v>A definir</x:v>
      </x:c>
      <x:c r="K153" s="35"/>
      <x:c r="L153" s="35"/>
      <x:c r="M153" s="35"/>
      <x:c r="N153" s="33" t="str">
        <x:v>PACK-02-ART-01;PACK-02-VID-01</x:v>
      </x:c>
      <x:c r="O153" s="33" t="str"/>
      <x:c r="P153" s="33" t="str">
        <x:v>GTM-03;GTM-05</x:v>
      </x:c>
      <x:c r="Q153" s="33" t="str">
        <x:v>11.2;2.6</x:v>
      </x:c>
      <x:c r="R153" s="33" t="str">
        <x:v>Decomposição proposta</x:v>
      </x:c>
      <x:c r="S153" s="34"/>
      <x:c r="T153" s="33" t="str">
        <x:f>IF(I153="Concluída",IF(OR(S153="",M153=""),"Falta evidência/data","Confirmada"),"Não confirmada")</x:f>
        <x:v>Não confirmada</x:v>
      </x:c>
      <x:c r="U153" s="33" t="str">
        <x:f>IF(T153="Confirmada","Concluída",IF(I153="Cancelada","Cancelada",IF(L153="","Sem prazo",IF(L153&lt;TODAY(),"Prazo vencido","No prazo"))))</x:f>
        <x:v>Sem prazo</x:v>
      </x:c>
      <x:c r="V153" s="34"/>
    </x:row>
    <x:row r="154" ht="62" customHeight="1">
      <x:c r="A154" s="33" t="str">
        <x:v>PACK-02-NWL-01</x:v>
      </x:c>
      <x:c r="B154" s="33" t="str">
        <x:v>AR-02</x:v>
      </x:c>
      <x:c r="C154" s="33" t="str">
        <x:v>OBJ-02</x:v>
      </x:c>
      <x:c r="D154" s="33" t="str">
        <x:v>Produzir newsletter 1 do PACK-02</x:v>
      </x:c>
      <x:c r="E154" s="33" t="str">
        <x:v>HTML responsivo; aprendizado, aplicação e CTA. Revisão e arquivo final registrados.</x:v>
      </x:c>
      <x:c r="F154" s="33" t="str">
        <x:v>PACK-02</x:v>
      </x:c>
      <x:c r="G154" s="33" t="str">
        <x:v>NWL</x:v>
      </x:c>
      <x:c r="H154" s="33" t="str">
        <x:v>Obrigatório</x:v>
      </x:c>
      <x:c r="I154" s="34" t="str">
        <x:v>A confirmar</x:v>
      </x:c>
      <x:c r="J154" s="34" t="str">
        <x:v>A definir</x:v>
      </x:c>
      <x:c r="K154" s="35"/>
      <x:c r="L154" s="35"/>
      <x:c r="M154" s="35"/>
      <x:c r="N154" s="33" t="str">
        <x:v>PACK-02-ART-01;PACK-02-VID-01</x:v>
      </x:c>
      <x:c r="O154" s="33" t="str"/>
      <x:c r="P154" s="33" t="str">
        <x:v>GTM-03;GTM-05</x:v>
      </x:c>
      <x:c r="Q154" s="33" t="str">
        <x:v>11.2;2.6</x:v>
      </x:c>
      <x:c r="R154" s="33" t="str">
        <x:v>Decomposição proposta</x:v>
      </x:c>
      <x:c r="S154" s="34"/>
      <x:c r="T154" s="33" t="str">
        <x:f>IF(I154="Concluída",IF(OR(S154="",M154=""),"Falta evidência/data","Confirmada"),"Não confirmada")</x:f>
        <x:v>Não confirmada</x:v>
      </x:c>
      <x:c r="U154" s="33" t="str">
        <x:f>IF(T154="Confirmada","Concluída",IF(I154="Cancelada","Cancelada",IF(L154="","Sem prazo",IF(L154&lt;TODAY(),"Prazo vencido","No prazo"))))</x:f>
        <x:v>Sem prazo</x:v>
      </x:c>
      <x:c r="V154" s="34"/>
    </x:row>
    <x:row r="155" ht="62" customHeight="1">
      <x:c r="A155" s="33" t="str">
        <x:v>PACK-02-NWL-02</x:v>
      </x:c>
      <x:c r="B155" s="33" t="str">
        <x:v>AR-02</x:v>
      </x:c>
      <x:c r="C155" s="33" t="str">
        <x:v>OBJ-02</x:v>
      </x:c>
      <x:c r="D155" s="33" t="str">
        <x:v>Produzir newsletter 2 do PACK-02</x:v>
      </x:c>
      <x:c r="E155" s="33" t="str">
        <x:v>HTML responsivo; aprendizado, aplicação e CTA. Revisão e arquivo final registrados.</x:v>
      </x:c>
      <x:c r="F155" s="33" t="str">
        <x:v>PACK-02</x:v>
      </x:c>
      <x:c r="G155" s="33" t="str">
        <x:v>NWL</x:v>
      </x:c>
      <x:c r="H155" s="33" t="str">
        <x:v>Obrigatório</x:v>
      </x:c>
      <x:c r="I155" s="34" t="str">
        <x:v>A confirmar</x:v>
      </x:c>
      <x:c r="J155" s="34" t="str">
        <x:v>A definir</x:v>
      </x:c>
      <x:c r="K155" s="35"/>
      <x:c r="L155" s="35"/>
      <x:c r="M155" s="35"/>
      <x:c r="N155" s="33" t="str">
        <x:v>PACK-02-ART-01;PACK-02-VID-01</x:v>
      </x:c>
      <x:c r="O155" s="33" t="str"/>
      <x:c r="P155" s="33" t="str">
        <x:v>GTM-03;GTM-05</x:v>
      </x:c>
      <x:c r="Q155" s="33" t="str">
        <x:v>11.2;2.6</x:v>
      </x:c>
      <x:c r="R155" s="33" t="str">
        <x:v>Decomposição proposta</x:v>
      </x:c>
      <x:c r="S155" s="34"/>
      <x:c r="T155" s="33" t="str">
        <x:f>IF(I155="Concluída",IF(OR(S155="",M155=""),"Falta evidência/data","Confirmada"),"Não confirmada")</x:f>
        <x:v>Não confirmada</x:v>
      </x:c>
      <x:c r="U155" s="33" t="str">
        <x:f>IF(T155="Confirmada","Concluída",IF(I155="Cancelada","Cancelada",IF(L155="","Sem prazo",IF(L155&lt;TODAY(),"Prazo vencido","No prazo"))))</x:f>
        <x:v>Sem prazo</x:v>
      </x:c>
      <x:c r="V155" s="34"/>
    </x:row>
    <x:row r="156" ht="62" customHeight="1">
      <x:c r="A156" s="33" t="str">
        <x:v>PACK-02-NWL-03</x:v>
      </x:c>
      <x:c r="B156" s="33" t="str">
        <x:v>AR-02</x:v>
      </x:c>
      <x:c r="C156" s="33" t="str">
        <x:v>OBJ-02</x:v>
      </x:c>
      <x:c r="D156" s="33" t="str">
        <x:v>Produzir newsletter 3 do PACK-02</x:v>
      </x:c>
      <x:c r="E156" s="33" t="str">
        <x:v>HTML responsivo; aprendizado, aplicação e CTA. Revisão e arquivo final registrados.</x:v>
      </x:c>
      <x:c r="F156" s="33" t="str">
        <x:v>PACK-02</x:v>
      </x:c>
      <x:c r="G156" s="33" t="str">
        <x:v>NWL</x:v>
      </x:c>
      <x:c r="H156" s="33" t="str">
        <x:v>Obrigatório</x:v>
      </x:c>
      <x:c r="I156" s="34" t="str">
        <x:v>A confirmar</x:v>
      </x:c>
      <x:c r="J156" s="34" t="str">
        <x:v>A definir</x:v>
      </x:c>
      <x:c r="K156" s="35"/>
      <x:c r="L156" s="35"/>
      <x:c r="M156" s="35"/>
      <x:c r="N156" s="33" t="str">
        <x:v>PACK-02-ART-01;PACK-02-VID-01</x:v>
      </x:c>
      <x:c r="O156" s="33" t="str"/>
      <x:c r="P156" s="33" t="str">
        <x:v>GTM-03;GTM-05</x:v>
      </x:c>
      <x:c r="Q156" s="33" t="str">
        <x:v>11.2;2.6</x:v>
      </x:c>
      <x:c r="R156" s="33" t="str">
        <x:v>Decomposição proposta</x:v>
      </x:c>
      <x:c r="S156" s="34"/>
      <x:c r="T156" s="33" t="str">
        <x:f>IF(I156="Concluída",IF(OR(S156="",M156=""),"Falta evidência/data","Confirmada"),"Não confirmada")</x:f>
        <x:v>Não confirmada</x:v>
      </x:c>
      <x:c r="U156" s="33" t="str">
        <x:f>IF(T156="Confirmada","Concluída",IF(I156="Cancelada","Cancelada",IF(L156="","Sem prazo",IF(L156&lt;TODAY(),"Prazo vencido","No prazo"))))</x:f>
        <x:v>Sem prazo</x:v>
      </x:c>
      <x:c r="V156" s="34"/>
    </x:row>
    <x:row r="157" ht="62" customHeight="1">
      <x:c r="A157" s="33" t="str">
        <x:v>PACK-02-EBK-01</x:v>
      </x:c>
      <x:c r="B157" s="33" t="str">
        <x:v>AR-02</x:v>
      </x:c>
      <x:c r="C157" s="33" t="str">
        <x:v>OBJ-02</x:v>
      </x:c>
      <x:c r="D157" s="33" t="str">
        <x:v>Produzir ebook 1 do PACK-02</x:v>
      </x:c>
      <x:c r="E157" s="33" t="str">
        <x:v>PDF A4; framework, exercício/template e CTA. Revisão e arquivo final registrados.</x:v>
      </x:c>
      <x:c r="F157" s="33" t="str">
        <x:v>PACK-02</x:v>
      </x:c>
      <x:c r="G157" s="33" t="str">
        <x:v>EBK</x:v>
      </x:c>
      <x:c r="H157" s="33" t="str">
        <x:v>Obrigatório</x:v>
      </x:c>
      <x:c r="I157" s="34" t="str">
        <x:v>A confirmar</x:v>
      </x:c>
      <x:c r="J157" s="34" t="str">
        <x:v>A definir</x:v>
      </x:c>
      <x:c r="K157" s="35"/>
      <x:c r="L157" s="35"/>
      <x:c r="M157" s="35"/>
      <x:c r="N157" s="33" t="str">
        <x:v>PACK-02-ART-01;PACK-02-VID-01</x:v>
      </x:c>
      <x:c r="O157" s="33" t="str"/>
      <x:c r="P157" s="33" t="str">
        <x:v>GTM-03;GTM-05</x:v>
      </x:c>
      <x:c r="Q157" s="33" t="str">
        <x:v>11.2;2.6</x:v>
      </x:c>
      <x:c r="R157" s="33" t="str">
        <x:v>Decomposição proposta</x:v>
      </x:c>
      <x:c r="S157" s="34"/>
      <x:c r="T157" s="33" t="str">
        <x:f>IF(I157="Concluída",IF(OR(S157="",M157=""),"Falta evidência/data","Confirmada"),"Não confirmada")</x:f>
        <x:v>Não confirmada</x:v>
      </x:c>
      <x:c r="U157" s="33" t="str">
        <x:f>IF(T157="Confirmada","Concluída",IF(I157="Cancelada","Cancelada",IF(L157="","Sem prazo",IF(L157&lt;TODAY(),"Prazo vencido","No prazo"))))</x:f>
        <x:v>Sem prazo</x:v>
      </x:c>
      <x:c r="V157" s="34"/>
    </x:row>
    <x:row r="158" ht="62" customHeight="1">
      <x:c r="A158" s="33" t="str">
        <x:v>PACK-02-EBK-02</x:v>
      </x:c>
      <x:c r="B158" s="33" t="str">
        <x:v>AR-02</x:v>
      </x:c>
      <x:c r="C158" s="33" t="str">
        <x:v>OBJ-02</x:v>
      </x:c>
      <x:c r="D158" s="33" t="str">
        <x:v>Produzir ebook 2 do PACK-02</x:v>
      </x:c>
      <x:c r="E158" s="33" t="str">
        <x:v>PDF A4; framework, exercício/template e CTA. Revisão e arquivo final registrados.</x:v>
      </x:c>
      <x:c r="F158" s="33" t="str">
        <x:v>PACK-02</x:v>
      </x:c>
      <x:c r="G158" s="33" t="str">
        <x:v>EBK</x:v>
      </x:c>
      <x:c r="H158" s="33" t="str">
        <x:v>Obrigatório</x:v>
      </x:c>
      <x:c r="I158" s="34" t="str">
        <x:v>A confirmar</x:v>
      </x:c>
      <x:c r="J158" s="34" t="str">
        <x:v>A definir</x:v>
      </x:c>
      <x:c r="K158" s="35"/>
      <x:c r="L158" s="35"/>
      <x:c r="M158" s="35"/>
      <x:c r="N158" s="33" t="str">
        <x:v>PACK-02-ART-01;PACK-02-VID-01</x:v>
      </x:c>
      <x:c r="O158" s="33" t="str"/>
      <x:c r="P158" s="33" t="str">
        <x:v>GTM-03;GTM-05</x:v>
      </x:c>
      <x:c r="Q158" s="33" t="str">
        <x:v>11.2;2.6</x:v>
      </x:c>
      <x:c r="R158" s="33" t="str">
        <x:v>Decomposição proposta</x:v>
      </x:c>
      <x:c r="S158" s="34"/>
      <x:c r="T158" s="33" t="str">
        <x:f>IF(I158="Concluída",IF(OR(S158="",M158=""),"Falta evidência/data","Confirmada"),"Não confirmada")</x:f>
        <x:v>Não confirmada</x:v>
      </x:c>
      <x:c r="U158" s="33" t="str">
        <x:f>IF(T158="Confirmada","Concluída",IF(I158="Cancelada","Cancelada",IF(L158="","Sem prazo",IF(L158&lt;TODAY(),"Prazo vencido","No prazo"))))</x:f>
        <x:v>Sem prazo</x:v>
      </x:c>
      <x:c r="V158" s="34"/>
    </x:row>
    <x:row r="159" ht="62" customHeight="1">
      <x:c r="A159" s="33" t="str">
        <x:v>PACK-02-EBK-03</x:v>
      </x:c>
      <x:c r="B159" s="33" t="str">
        <x:v>AR-02</x:v>
      </x:c>
      <x:c r="C159" s="33" t="str">
        <x:v>OBJ-02</x:v>
      </x:c>
      <x:c r="D159" s="33" t="str">
        <x:v>Produzir ebook 3 do PACK-02</x:v>
      </x:c>
      <x:c r="E159" s="33" t="str">
        <x:v>PDF A4; framework, exercício/template e CTA. Revisão e arquivo final registrados.</x:v>
      </x:c>
      <x:c r="F159" s="33" t="str">
        <x:v>PACK-02</x:v>
      </x:c>
      <x:c r="G159" s="33" t="str">
        <x:v>EBK</x:v>
      </x:c>
      <x:c r="H159" s="33" t="str">
        <x:v>Obrigatório</x:v>
      </x:c>
      <x:c r="I159" s="34" t="str">
        <x:v>A confirmar</x:v>
      </x:c>
      <x:c r="J159" s="34" t="str">
        <x:v>A definir</x:v>
      </x:c>
      <x:c r="K159" s="35"/>
      <x:c r="L159" s="35"/>
      <x:c r="M159" s="35"/>
      <x:c r="N159" s="33" t="str">
        <x:v>PACK-02-ART-01;PACK-02-VID-01</x:v>
      </x:c>
      <x:c r="O159" s="33" t="str"/>
      <x:c r="P159" s="33" t="str">
        <x:v>GTM-03;GTM-05</x:v>
      </x:c>
      <x:c r="Q159" s="33" t="str">
        <x:v>11.2;2.6</x:v>
      </x:c>
      <x:c r="R159" s="33" t="str">
        <x:v>Decomposição proposta</x:v>
      </x:c>
      <x:c r="S159" s="34"/>
      <x:c r="T159" s="33" t="str">
        <x:f>IF(I159="Concluída",IF(OR(S159="",M159=""),"Falta evidência/data","Confirmada"),"Não confirmada")</x:f>
        <x:v>Não confirmada</x:v>
      </x:c>
      <x:c r="U159" s="33" t="str">
        <x:f>IF(T159="Confirmada","Concluída",IF(I159="Cancelada","Cancelada",IF(L159="","Sem prazo",IF(L159&lt;TODAY(),"Prazo vencido","No prazo"))))</x:f>
        <x:v>Sem prazo</x:v>
      </x:c>
      <x:c r="V159" s="34"/>
    </x:row>
    <x:row r="160" ht="62" customHeight="1">
      <x:c r="A160" s="33" t="str">
        <x:v>PACK-02-CTA-01</x:v>
      </x:c>
      <x:c r="B160" s="33" t="str">
        <x:v>AR-02</x:v>
      </x:c>
      <x:c r="C160" s="33" t="str">
        <x:v>OBJ-02</x:v>
      </x:c>
      <x:c r="D160" s="33" t="str">
        <x:v>Produzir cta de ferramenta 1 do PACK-02</x:v>
      </x:c>
      <x:c r="E160" s="33" t="str">
        <x:v>Uma ação principal; benefício, destino e evento mensurável. Revisão e arquivo final registrados.</x:v>
      </x:c>
      <x:c r="F160" s="33" t="str">
        <x:v>PACK-02</x:v>
      </x:c>
      <x:c r="G160" s="33" t="str">
        <x:v>CTA</x:v>
      </x:c>
      <x:c r="H160" s="33" t="str">
        <x:v>Obrigatório</x:v>
      </x:c>
      <x:c r="I160" s="34" t="str">
        <x:v>A confirmar</x:v>
      </x:c>
      <x:c r="J160" s="34" t="str">
        <x:v>A definir</x:v>
      </x:c>
      <x:c r="K160" s="35"/>
      <x:c r="L160" s="35"/>
      <x:c r="M160" s="35"/>
      <x:c r="N160" s="33" t="str">
        <x:v>PACK-02-ART-01;PACK-02-VID-01;DST-05</x:v>
      </x:c>
      <x:c r="O160" s="33" t="str"/>
      <x:c r="P160" s="33" t="str">
        <x:v>GTM-03;GTM-05</x:v>
      </x:c>
      <x:c r="Q160" s="33" t="str">
        <x:v>11.2;2.6</x:v>
      </x:c>
      <x:c r="R160" s="33" t="str">
        <x:v>Decomposição proposta</x:v>
      </x:c>
      <x:c r="S160" s="34"/>
      <x:c r="T160" s="33" t="str">
        <x:f>IF(I160="Concluída",IF(OR(S160="",M160=""),"Falta evidência/data","Confirmada"),"Não confirmada")</x:f>
        <x:v>Não confirmada</x:v>
      </x:c>
      <x:c r="U160" s="33" t="str">
        <x:f>IF(T160="Confirmada","Concluída",IF(I160="Cancelada","Cancelada",IF(L160="","Sem prazo",IF(L160&lt;TODAY(),"Prazo vencido","No prazo"))))</x:f>
        <x:v>Sem prazo</x:v>
      </x:c>
      <x:c r="V160" s="34"/>
    </x:row>
    <x:row r="161" ht="62" customHeight="1">
      <x:c r="A161" s="33" t="str">
        <x:v>PACK-02-CTA-02</x:v>
      </x:c>
      <x:c r="B161" s="33" t="str">
        <x:v>AR-02</x:v>
      </x:c>
      <x:c r="C161" s="33" t="str">
        <x:v>OBJ-02</x:v>
      </x:c>
      <x:c r="D161" s="33" t="str">
        <x:v>Produzir cta de ferramenta 2 do PACK-02</x:v>
      </x:c>
      <x:c r="E161" s="33" t="str">
        <x:v>Uma ação principal; benefício, destino e evento mensurável. Revisão e arquivo final registrados.</x:v>
      </x:c>
      <x:c r="F161" s="33" t="str">
        <x:v>PACK-02</x:v>
      </x:c>
      <x:c r="G161" s="33" t="str">
        <x:v>CTA</x:v>
      </x:c>
      <x:c r="H161" s="33" t="str">
        <x:v>Obrigatório</x:v>
      </x:c>
      <x:c r="I161" s="34" t="str">
        <x:v>A confirmar</x:v>
      </x:c>
      <x:c r="J161" s="34" t="str">
        <x:v>A definir</x:v>
      </x:c>
      <x:c r="K161" s="35"/>
      <x:c r="L161" s="35"/>
      <x:c r="M161" s="35"/>
      <x:c r="N161" s="33" t="str">
        <x:v>PACK-02-ART-01;PACK-02-VID-01;DST-05</x:v>
      </x:c>
      <x:c r="O161" s="33" t="str"/>
      <x:c r="P161" s="33" t="str">
        <x:v>GTM-03;GTM-05</x:v>
      </x:c>
      <x:c r="Q161" s="33" t="str">
        <x:v>11.2;2.6</x:v>
      </x:c>
      <x:c r="R161" s="33" t="str">
        <x:v>Decomposição proposta</x:v>
      </x:c>
      <x:c r="S161" s="34"/>
      <x:c r="T161" s="33" t="str">
        <x:f>IF(I161="Concluída",IF(OR(S161="",M161=""),"Falta evidência/data","Confirmada"),"Não confirmada")</x:f>
        <x:v>Não confirmada</x:v>
      </x:c>
      <x:c r="U161" s="33" t="str">
        <x:f>IF(T161="Confirmada","Concluída",IF(I161="Cancelada","Cancelada",IF(L161="","Sem prazo",IF(L161&lt;TODAY(),"Prazo vencido","No prazo"))))</x:f>
        <x:v>Sem prazo</x:v>
      </x:c>
      <x:c r="V161" s="34"/>
    </x:row>
    <x:row r="162" ht="62" customHeight="1">
      <x:c r="A162" s="33" t="str">
        <x:v>PACK-02-CTA-03</x:v>
      </x:c>
      <x:c r="B162" s="33" t="str">
        <x:v>AR-02</x:v>
      </x:c>
      <x:c r="C162" s="33" t="str">
        <x:v>OBJ-02</x:v>
      </x:c>
      <x:c r="D162" s="33" t="str">
        <x:v>Produzir cta de ferramenta 3 do PACK-02</x:v>
      </x:c>
      <x:c r="E162" s="33" t="str">
        <x:v>Uma ação principal; benefício, destino e evento mensurável. Revisão e arquivo final registrados.</x:v>
      </x:c>
      <x:c r="F162" s="33" t="str">
        <x:v>PACK-02</x:v>
      </x:c>
      <x:c r="G162" s="33" t="str">
        <x:v>CTA</x:v>
      </x:c>
      <x:c r="H162" s="33" t="str">
        <x:v>Obrigatório</x:v>
      </x:c>
      <x:c r="I162" s="34" t="str">
        <x:v>A confirmar</x:v>
      </x:c>
      <x:c r="J162" s="34" t="str">
        <x:v>A definir</x:v>
      </x:c>
      <x:c r="K162" s="35"/>
      <x:c r="L162" s="35"/>
      <x:c r="M162" s="35"/>
      <x:c r="N162" s="33" t="str">
        <x:v>PACK-02-ART-01;PACK-02-VID-01;DST-05</x:v>
      </x:c>
      <x:c r="O162" s="33" t="str"/>
      <x:c r="P162" s="33" t="str">
        <x:v>GTM-03;GTM-05</x:v>
      </x:c>
      <x:c r="Q162" s="33" t="str">
        <x:v>11.2;2.6</x:v>
      </x:c>
      <x:c r="R162" s="33" t="str">
        <x:v>Decomposição proposta</x:v>
      </x:c>
      <x:c r="S162" s="34"/>
      <x:c r="T162" s="33" t="str">
        <x:f>IF(I162="Concluída",IF(OR(S162="",M162=""),"Falta evidência/data","Confirmada"),"Não confirmada")</x:f>
        <x:v>Não confirmada</x:v>
      </x:c>
      <x:c r="U162" s="33" t="str">
        <x:f>IF(T162="Confirmada","Concluída",IF(I162="Cancelada","Cancelada",IF(L162="","Sem prazo",IF(L162&lt;TODAY(),"Prazo vencido","No prazo"))))</x:f>
        <x:v>Sem prazo</x:v>
      </x:c>
      <x:c r="V162" s="34"/>
    </x:row>
    <x:row r="163" ht="62" customHeight="1">
      <x:c r="A163" s="33" t="str">
        <x:v>PACK-02-CTA-04</x:v>
      </x:c>
      <x:c r="B163" s="33" t="str">
        <x:v>AR-02</x:v>
      </x:c>
      <x:c r="C163" s="33" t="str">
        <x:v>OBJ-02</x:v>
      </x:c>
      <x:c r="D163" s="33" t="str">
        <x:v>Produzir cta de ferramenta 4 do PACK-02</x:v>
      </x:c>
      <x:c r="E163" s="33" t="str">
        <x:v>Uma ação principal; benefício, destino e evento mensurável. Revisão e arquivo final registrados.</x:v>
      </x:c>
      <x:c r="F163" s="33" t="str">
        <x:v>PACK-02</x:v>
      </x:c>
      <x:c r="G163" s="33" t="str">
        <x:v>CTA</x:v>
      </x:c>
      <x:c r="H163" s="33" t="str">
        <x:v>Obrigatório</x:v>
      </x:c>
      <x:c r="I163" s="34" t="str">
        <x:v>A confirmar</x:v>
      </x:c>
      <x:c r="J163" s="34" t="str">
        <x:v>A definir</x:v>
      </x:c>
      <x:c r="K163" s="35"/>
      <x:c r="L163" s="35"/>
      <x:c r="M163" s="35"/>
      <x:c r="N163" s="33" t="str">
        <x:v>PACK-02-ART-01;PACK-02-VID-01;DST-05</x:v>
      </x:c>
      <x:c r="O163" s="33" t="str"/>
      <x:c r="P163" s="33" t="str">
        <x:v>GTM-03;GTM-05</x:v>
      </x:c>
      <x:c r="Q163" s="33" t="str">
        <x:v>11.2;2.6</x:v>
      </x:c>
      <x:c r="R163" s="33" t="str">
        <x:v>Decomposição proposta</x:v>
      </x:c>
      <x:c r="S163" s="34"/>
      <x:c r="T163" s="33" t="str">
        <x:f>IF(I163="Concluída",IF(OR(S163="",M163=""),"Falta evidência/data","Confirmada"),"Não confirmada")</x:f>
        <x:v>Não confirmada</x:v>
      </x:c>
      <x:c r="U163" s="33" t="str">
        <x:f>IF(T163="Confirmada","Concluída",IF(I163="Cancelada","Cancelada",IF(L163="","Sem prazo",IF(L163&lt;TODAY(),"Prazo vencido","No prazo"))))</x:f>
        <x:v>Sem prazo</x:v>
      </x:c>
      <x:c r="V163" s="34"/>
    </x:row>
    <x:row r="164" ht="62" customHeight="1">
      <x:c r="A164" s="33" t="str">
        <x:v>PACK-02-CTA-05</x:v>
      </x:c>
      <x:c r="B164" s="33" t="str">
        <x:v>AR-02</x:v>
      </x:c>
      <x:c r="C164" s="33" t="str">
        <x:v>OBJ-02</x:v>
      </x:c>
      <x:c r="D164" s="33" t="str">
        <x:v>Produzir cta de ferramenta 5 do PACK-02</x:v>
      </x:c>
      <x:c r="E164" s="33" t="str">
        <x:v>Uma ação principal; benefício, destino e evento mensurável. Revisão e arquivo final registrados.</x:v>
      </x:c>
      <x:c r="F164" s="33" t="str">
        <x:v>PACK-02</x:v>
      </x:c>
      <x:c r="G164" s="33" t="str">
        <x:v>CTA</x:v>
      </x:c>
      <x:c r="H164" s="33" t="str">
        <x:v>Obrigatório</x:v>
      </x:c>
      <x:c r="I164" s="34" t="str">
        <x:v>A confirmar</x:v>
      </x:c>
      <x:c r="J164" s="34" t="str">
        <x:v>A definir</x:v>
      </x:c>
      <x:c r="K164" s="35"/>
      <x:c r="L164" s="35"/>
      <x:c r="M164" s="35"/>
      <x:c r="N164" s="33" t="str">
        <x:v>PACK-02-ART-01;PACK-02-VID-01;DST-05</x:v>
      </x:c>
      <x:c r="O164" s="33" t="str"/>
      <x:c r="P164" s="33" t="str">
        <x:v>GTM-03;GTM-05</x:v>
      </x:c>
      <x:c r="Q164" s="33" t="str">
        <x:v>11.2;2.6</x:v>
      </x:c>
      <x:c r="R164" s="33" t="str">
        <x:v>Decomposição proposta</x:v>
      </x:c>
      <x:c r="S164" s="34"/>
      <x:c r="T164" s="33" t="str">
        <x:f>IF(I164="Concluída",IF(OR(S164="",M164=""),"Falta evidência/data","Confirmada"),"Não confirmada")</x:f>
        <x:v>Não confirmada</x:v>
      </x:c>
      <x:c r="U164" s="33" t="str">
        <x:f>IF(T164="Confirmada","Concluída",IF(I164="Cancelada","Cancelada",IF(L164="","Sem prazo",IF(L164&lt;TODAY(),"Prazo vencido","No prazo"))))</x:f>
        <x:v>Sem prazo</x:v>
      </x:c>
      <x:c r="V164" s="34"/>
    </x:row>
    <x:row r="165" ht="62" customHeight="1">
      <x:c r="A165" s="33" t="str">
        <x:v>PACK-02-CTA-06</x:v>
      </x:c>
      <x:c r="B165" s="33" t="str">
        <x:v>AR-02</x:v>
      </x:c>
      <x:c r="C165" s="33" t="str">
        <x:v>OBJ-02</x:v>
      </x:c>
      <x:c r="D165" s="33" t="str">
        <x:v>Produzir cta de ferramenta 6 do PACK-02</x:v>
      </x:c>
      <x:c r="E165" s="33" t="str">
        <x:v>Uma ação principal; benefício, destino e evento mensurável. Revisão e arquivo final registrados.</x:v>
      </x:c>
      <x:c r="F165" s="33" t="str">
        <x:v>PACK-02</x:v>
      </x:c>
      <x:c r="G165" s="33" t="str">
        <x:v>CTA</x:v>
      </x:c>
      <x:c r="H165" s="33" t="str">
        <x:v>Obrigatório</x:v>
      </x:c>
      <x:c r="I165" s="34" t="str">
        <x:v>A confirmar</x:v>
      </x:c>
      <x:c r="J165" s="34" t="str">
        <x:v>A definir</x:v>
      </x:c>
      <x:c r="K165" s="35"/>
      <x:c r="L165" s="35"/>
      <x:c r="M165" s="35"/>
      <x:c r="N165" s="33" t="str">
        <x:v>PACK-02-ART-01;PACK-02-VID-01;DST-05</x:v>
      </x:c>
      <x:c r="O165" s="33" t="str"/>
      <x:c r="P165" s="33" t="str">
        <x:v>GTM-03;GTM-05</x:v>
      </x:c>
      <x:c r="Q165" s="33" t="str">
        <x:v>11.2;2.6</x:v>
      </x:c>
      <x:c r="R165" s="33" t="str">
        <x:v>Decomposição proposta</x:v>
      </x:c>
      <x:c r="S165" s="34"/>
      <x:c r="T165" s="33" t="str">
        <x:f>IF(I165="Concluída",IF(OR(S165="",M165=""),"Falta evidência/data","Confirmada"),"Não confirmada")</x:f>
        <x:v>Não confirmada</x:v>
      </x:c>
      <x:c r="U165" s="33" t="str">
        <x:f>IF(T165="Confirmada","Concluída",IF(I165="Cancelada","Cancelada",IF(L165="","Sem prazo",IF(L165&lt;TODAY(),"Prazo vencido","No prazo"))))</x:f>
        <x:v>Sem prazo</x:v>
      </x:c>
      <x:c r="V165" s="34"/>
    </x:row>
    <x:row r="166" ht="226" customHeight="1">
      <x:c r="A166" s="33" t="str">
        <x:v>PACK-02-QA</x:v>
      </x:c>
      <x:c r="B166" s="33" t="str">
        <x:v>AR-02</x:v>
      </x:c>
      <x:c r="C166" s="33" t="str">
        <x:v>OBJ-02</x:v>
      </x:c>
      <x:c r="D166" s="33" t="str">
        <x:v>Revisar banco de conteúdo do PACK-02</x:v>
      </x:c>
      <x:c r="E166" s="33" t="str">
        <x:v>43 peças mínimas validadas; coerência, evidências, formatos e CTA revisados.</x:v>
      </x:c>
      <x:c r="F166" s="33" t="str">
        <x:v>PACK-02</x:v>
      </x:c>
      <x:c r="G166" s="33" t="str">
        <x:v>Atividade</x:v>
      </x:c>
      <x:c r="H166" s="33" t="str">
        <x:v>Obrigatório</x:v>
      </x:c>
      <x:c r="I166" s="34" t="str">
        <x:v>A confirmar</x:v>
      </x:c>
      <x:c r="J166" s="34" t="str">
        <x:v>A definir</x:v>
      </x:c>
      <x:c r="K166" s="35"/>
      <x:c r="L166" s="35"/>
      <x:c r="M166" s="35"/>
      <x:c r="N166" s="33" t="str">
        <x:v>PACK-02-ART-01;PACK-02-VID-01;PACK-02-VRT-01;PACK-02-VRT-02;PACK-02-VRT-03;PACK-02-VRT-04;PACK-02-CRS-01;PACK-02-CRS-02;PACK-02-CRS-03;PACK-02-CRS-04;PACK-02-CRS-05;PACK-02-CRS-06;PACK-02-IMG-01;PACK-02-IMG-02;PACK-02-IMG-03;PACK-02-IMG-04;PACK-02-IMG-05;PACK-02-IMG-06;PACK-02-INF-01;PACK-02-INF-02;PACK-02-INF-03;PACK-02-STR-01;PACK-02-STR-02;PACK-02-STR-03;PACK-02-STR-04;PACK-02-STR-05;PACK-02-STR-06;PACK-02-STR-07;PACK-02-STR-08;PACK-02-STR-09;PACK-02-STR-10;PACK-02-NWL-01;PACK-02-NWL-02;PACK-02-NWL-03;PACK-02-EBK-01;PACK-02-EBK-02;PACK-02-EBK-03;PACK-02-CTA-01;PACK-02-CTA-02;PACK-02-CTA-03;PACK-02-CTA-04;PACK-02-CTA-05;PACK-02-CTA-06</x:v>
      </x:c>
      <x:c r="O166" s="33" t="str"/>
      <x:c r="P166" s="33" t="str">
        <x:v>GTM-05</x:v>
      </x:c>
      <x:c r="Q166" s="33" t="str">
        <x:v>2.6;11.2</x:v>
      </x:c>
      <x:c r="R166" s="33" t="str">
        <x:v>Decomposição proposta</x:v>
      </x:c>
      <x:c r="S166" s="34"/>
      <x:c r="T166" s="33" t="str">
        <x:f>IF(I166="Concluída",IF(OR(S166="",M166=""),"Falta evidência/data","Confirmada"),"Não confirmada")</x:f>
        <x:v>Não confirmada</x:v>
      </x:c>
      <x:c r="U166" s="33" t="str">
        <x:f>IF(T166="Confirmada","Concluída",IF(I166="Cancelada","Cancelada",IF(L166="","Sem prazo",IF(L166&lt;TODAY(),"Prazo vencido","No prazo"))))</x:f>
        <x:v>Sem prazo</x:v>
      </x:c>
      <x:c r="V166" s="34"/>
    </x:row>
    <x:row r="167" ht="62" customHeight="1">
      <x:c r="A167" s="33" t="str">
        <x:v>PACK-02-DIST</x:v>
      </x:c>
      <x:c r="B167" s="33" t="str">
        <x:v>AR-08</x:v>
      </x:c>
      <x:c r="C167" s="33" t="str">
        <x:v>OBJ-08</x:v>
      </x:c>
      <x:c r="D167" s="33" t="str">
        <x:v>Adaptar e distribuir o PACK-02</x:v>
      </x:c>
      <x:c r="E167" s="33" t="str">
        <x:v>Canais aprovados recebem composição nativa; URLs, datas e sinais registrados.</x:v>
      </x:c>
      <x:c r="F167" s="33" t="str">
        <x:v>PACK-02</x:v>
      </x:c>
      <x:c r="G167" s="33" t="str">
        <x:v>Atividade</x:v>
      </x:c>
      <x:c r="H167" s="33" t="str">
        <x:v>Obrigatório</x:v>
      </x:c>
      <x:c r="I167" s="34" t="str">
        <x:v>A confirmar</x:v>
      </x:c>
      <x:c r="J167" s="34" t="str">
        <x:v>A definir</x:v>
      </x:c>
      <x:c r="K167" s="35"/>
      <x:c r="L167" s="35"/>
      <x:c r="M167" s="35"/>
      <x:c r="N167" s="33" t="str">
        <x:v>PACK-02-QA;DST-01;DST-06;GOV-09</x:v>
      </x:c>
      <x:c r="O167" s="33" t="str"/>
      <x:c r="P167" s="33" t="str">
        <x:v>GTM-04;GTM-06</x:v>
      </x:c>
      <x:c r="Q167" s="33" t="str">
        <x:v>1.4;11.2</x:v>
      </x:c>
      <x:c r="R167" s="33" t="str">
        <x:v>Decomposição proposta</x:v>
      </x:c>
      <x:c r="S167" s="34"/>
      <x:c r="T167" s="33" t="str">
        <x:f>IF(I167="Concluída",IF(OR(S167="",M167=""),"Falta evidência/data","Confirmada"),"Não confirmada")</x:f>
        <x:v>Não confirmada</x:v>
      </x:c>
      <x:c r="U167" s="33" t="str">
        <x:f>IF(T167="Confirmada","Concluída",IF(I167="Cancelada","Cancelada",IF(L167="","Sem prazo",IF(L167&lt;TODAY(),"Prazo vencido","No prazo"))))</x:f>
        <x:v>Sem prazo</x:v>
      </x:c>
      <x:c r="V167" s="34"/>
    </x:row>
    <x:row r="168" ht="62" customHeight="1">
      <x:c r="A168" s="33" t="str">
        <x:v>PACK-03-BRIEF</x:v>
      </x:c>
      <x:c r="B168" s="33" t="str">
        <x:v>AR-02</x:v>
      </x:c>
      <x:c r="C168" s="33" t="str">
        <x:v>OBJ-02</x:v>
      </x:c>
      <x:c r="D168" s="33" t="str">
        <x:v>Definir tema e brief do PACK-03</x:v>
      </x:c>
      <x:c r="E168" s="33" t="str">
        <x:v>Tema, pilar, consciência, público, evidências e CTA definidos.</x:v>
      </x:c>
      <x:c r="F168" s="33" t="str">
        <x:v>PACK-03</x:v>
      </x:c>
      <x:c r="G168" s="33" t="str">
        <x:v>Atividade</x:v>
      </x:c>
      <x:c r="H168" s="33" t="str">
        <x:v>Obrigatório</x:v>
      </x:c>
      <x:c r="I168" s="34" t="str">
        <x:v>A confirmar</x:v>
      </x:c>
      <x:c r="J168" s="34" t="str">
        <x:v>A definir</x:v>
      </x:c>
      <x:c r="K168" s="35"/>
      <x:c r="L168" s="35"/>
      <x:c r="M168" s="35"/>
      <x:c r="N168" s="33" t="str">
        <x:v>PACK-02-QA</x:v>
      </x:c>
      <x:c r="O168" s="33" t="str">
        <x:v>DEC-10</x:v>
      </x:c>
      <x:c r="P168" s="33" t="str">
        <x:v>GTM-03;GTM-05</x:v>
      </x:c>
      <x:c r="Q168" s="33" t="str">
        <x:v>11.1;11.2;11.4</x:v>
      </x:c>
      <x:c r="R168" s="33" t="str">
        <x:v>Decomposição proposta</x:v>
      </x:c>
      <x:c r="S168" s="34"/>
      <x:c r="T168" s="33" t="str">
        <x:f>IF(I168="Concluída",IF(OR(S168="",M168=""),"Falta evidência/data","Confirmada"),"Não confirmada")</x:f>
        <x:v>Não confirmada</x:v>
      </x:c>
      <x:c r="U168" s="33" t="str">
        <x:f>IF(T168="Confirmada","Concluída",IF(I168="Cancelada","Cancelada",IF(L168="","Sem prazo",IF(L168&lt;TODAY(),"Prazo vencido","No prazo"))))</x:f>
        <x:v>Sem prazo</x:v>
      </x:c>
      <x:c r="V168" s="34"/>
    </x:row>
    <x:row r="169" ht="62" customHeight="1">
      <x:c r="A169" s="33" t="str">
        <x:v>PACK-03-PESQ</x:v>
      </x:c>
      <x:c r="B169" s="33" t="str">
        <x:v>AR-02</x:v>
      </x:c>
      <x:c r="C169" s="33" t="str">
        <x:v>OBJ-02</x:v>
      </x:c>
      <x:c r="D169" s="33" t="str">
        <x:v>Pesquisar e validar evidências do PACK-03</x:v>
      </x:c>
      <x:c r="E169" s="33" t="str">
        <x:v>Fontes e claims registrados; inferências marcadas.</x:v>
      </x:c>
      <x:c r="F169" s="33" t="str">
        <x:v>PACK-03</x:v>
      </x:c>
      <x:c r="G169" s="33" t="str">
        <x:v>Atividade</x:v>
      </x:c>
      <x:c r="H169" s="33" t="str">
        <x:v>Obrigatório</x:v>
      </x:c>
      <x:c r="I169" s="34" t="str">
        <x:v>A confirmar</x:v>
      </x:c>
      <x:c r="J169" s="34" t="str">
        <x:v>A definir</x:v>
      </x:c>
      <x:c r="K169" s="35"/>
      <x:c r="L169" s="35"/>
      <x:c r="M169" s="35"/>
      <x:c r="N169" s="33" t="str">
        <x:v>PACK-03-BRIEF;SCH-07</x:v>
      </x:c>
      <x:c r="O169" s="33" t="str"/>
      <x:c r="P169" s="33" t="str">
        <x:v>GTM-05</x:v>
      </x:c>
      <x:c r="Q169" s="33" t="str">
        <x:v>14.1;17.3</x:v>
      </x:c>
      <x:c r="R169" s="33" t="str">
        <x:v>Decomposição proposta</x:v>
      </x:c>
      <x:c r="S169" s="34"/>
      <x:c r="T169" s="33" t="str">
        <x:f>IF(I169="Concluída",IF(OR(S169="",M169=""),"Falta evidência/data","Confirmada"),"Não confirmada")</x:f>
        <x:v>Não confirmada</x:v>
      </x:c>
      <x:c r="U169" s="33" t="str">
        <x:f>IF(T169="Confirmada","Concluída",IF(I169="Cancelada","Cancelada",IF(L169="","Sem prazo",IF(L169&lt;TODAY(),"Prazo vencido","No prazo"))))</x:f>
        <x:v>Sem prazo</x:v>
      </x:c>
      <x:c r="V169" s="34"/>
    </x:row>
    <x:row r="170" ht="62" customHeight="1">
      <x:c r="A170" s="33" t="str">
        <x:v>PACK-03-ART-01</x:v>
      </x:c>
      <x:c r="B170" s="33" t="str">
        <x:v>AR-02</x:v>
      </x:c>
      <x:c r="C170" s="33" t="str">
        <x:v>OBJ-02</x:v>
      </x:c>
      <x:c r="D170" s="33" t="str">
        <x:v>Produzir artigo-mãe 1 do PACK-03</x:v>
      </x:c>
      <x:c r="E170" s="33" t="str">
        <x:v>Markdown/HTML; 1.800–2.400 palavras; 9–11 blocos. Revisão e arquivo final registrados.</x:v>
      </x:c>
      <x:c r="F170" s="33" t="str">
        <x:v>PACK-03</x:v>
      </x:c>
      <x:c r="G170" s="33" t="str">
        <x:v>ART</x:v>
      </x:c>
      <x:c r="H170" s="33" t="str">
        <x:v>Obrigatório</x:v>
      </x:c>
      <x:c r="I170" s="34" t="str">
        <x:v>A confirmar</x:v>
      </x:c>
      <x:c r="J170" s="34" t="str">
        <x:v>A definir</x:v>
      </x:c>
      <x:c r="K170" s="35"/>
      <x:c r="L170" s="35"/>
      <x:c r="M170" s="35"/>
      <x:c r="N170" s="33" t="str">
        <x:v>PACK-03-PESQ</x:v>
      </x:c>
      <x:c r="O170" s="33" t="str"/>
      <x:c r="P170" s="33" t="str">
        <x:v>GTM-03;GTM-05</x:v>
      </x:c>
      <x:c r="Q170" s="33" t="str">
        <x:v>11.2;2.6</x:v>
      </x:c>
      <x:c r="R170" s="33" t="str">
        <x:v>Decomposição proposta</x:v>
      </x:c>
      <x:c r="S170" s="34"/>
      <x:c r="T170" s="33" t="str">
        <x:f>IF(I170="Concluída",IF(OR(S170="",M170=""),"Falta evidência/data","Confirmada"),"Não confirmada")</x:f>
        <x:v>Não confirmada</x:v>
      </x:c>
      <x:c r="U170" s="33" t="str">
        <x:f>IF(T170="Confirmada","Concluída",IF(I170="Cancelada","Cancelada",IF(L170="","Sem prazo",IF(L170&lt;TODAY(),"Prazo vencido","No prazo"))))</x:f>
        <x:v>Sem prazo</x:v>
      </x:c>
      <x:c r="V170" s="34"/>
    </x:row>
    <x:row r="171" ht="62" customHeight="1">
      <x:c r="A171" s="33" t="str">
        <x:v>PACK-03-VID-01</x:v>
      </x:c>
      <x:c r="B171" s="33" t="str">
        <x:v>AR-02</x:v>
      </x:c>
      <x:c r="C171" s="33" t="str">
        <x:v>OBJ-02</x:v>
      </x:c>
      <x:c r="D171" s="33" t="str">
        <x:v>Produzir vídeo-mãe 1 do PACK-03</x:v>
      </x:c>
      <x:c r="E171" s="33" t="str">
        <x:v>MP4; 16:9; 1920×1080; 8–12 min. Revisão e arquivo final registrados.</x:v>
      </x:c>
      <x:c r="F171" s="33" t="str">
        <x:v>PACK-03</x:v>
      </x:c>
      <x:c r="G171" s="33" t="str">
        <x:v>VID</x:v>
      </x:c>
      <x:c r="H171" s="33" t="str">
        <x:v>Obrigatório</x:v>
      </x:c>
      <x:c r="I171" s="34" t="str">
        <x:v>A confirmar</x:v>
      </x:c>
      <x:c r="J171" s="34" t="str">
        <x:v>A definir</x:v>
      </x:c>
      <x:c r="K171" s="35"/>
      <x:c r="L171" s="35"/>
      <x:c r="M171" s="35"/>
      <x:c r="N171" s="33" t="str">
        <x:v>PACK-03-ART-01;AGT-04</x:v>
      </x:c>
      <x:c r="O171" s="33" t="str"/>
      <x:c r="P171" s="33" t="str">
        <x:v>GTM-03;GTM-05</x:v>
      </x:c>
      <x:c r="Q171" s="33" t="str">
        <x:v>11.2;2.6</x:v>
      </x:c>
      <x:c r="R171" s="33" t="str">
        <x:v>Decomposição proposta</x:v>
      </x:c>
      <x:c r="S171" s="34"/>
      <x:c r="T171" s="33" t="str">
        <x:f>IF(I171="Concluída",IF(OR(S171="",M171=""),"Falta evidência/data","Confirmada"),"Não confirmada")</x:f>
        <x:v>Não confirmada</x:v>
      </x:c>
      <x:c r="U171" s="33" t="str">
        <x:f>IF(T171="Confirmada","Concluída",IF(I171="Cancelada","Cancelada",IF(L171="","Sem prazo",IF(L171&lt;TODAY(),"Prazo vencido","No prazo"))))</x:f>
        <x:v>Sem prazo</x:v>
      </x:c>
      <x:c r="V171" s="34"/>
    </x:row>
    <x:row r="172" ht="62" customHeight="1">
      <x:c r="A172" s="33" t="str">
        <x:v>PACK-03-VRT-01</x:v>
      </x:c>
      <x:c r="B172" s="33" t="str">
        <x:v>AR-02</x:v>
      </x:c>
      <x:c r="C172" s="33" t="str">
        <x:v>OBJ-02</x:v>
      </x:c>
      <x:c r="D172" s="33" t="str">
        <x:v>Produzir vídeo vertical 1 do PACK-03</x:v>
      </x:c>
      <x:c r="E172" s="33" t="str">
        <x:v>MP4; 9:16; 1080×1920; 20–60 s. Shorts/Reels/TikTok são adaptações, sem contar novos masters.. Revisão e arquivo final registrados.</x:v>
      </x:c>
      <x:c r="F172" s="33" t="str">
        <x:v>PACK-03</x:v>
      </x:c>
      <x:c r="G172" s="33" t="str">
        <x:v>VRT</x:v>
      </x:c>
      <x:c r="H172" s="33" t="str">
        <x:v>Obrigatório</x:v>
      </x:c>
      <x:c r="I172" s="34" t="str">
        <x:v>A confirmar</x:v>
      </x:c>
      <x:c r="J172" s="34" t="str">
        <x:v>A definir</x:v>
      </x:c>
      <x:c r="K172" s="35"/>
      <x:c r="L172" s="35"/>
      <x:c r="M172" s="35"/>
      <x:c r="N172" s="33" t="str">
        <x:v>PACK-03-ART-01;PACK-03-VID-01</x:v>
      </x:c>
      <x:c r="O172" s="33" t="str"/>
      <x:c r="P172" s="33" t="str">
        <x:v>GTM-03;GTM-05</x:v>
      </x:c>
      <x:c r="Q172" s="33" t="str">
        <x:v>11.2;2.6</x:v>
      </x:c>
      <x:c r="R172" s="33" t="str">
        <x:v>Decomposição proposta</x:v>
      </x:c>
      <x:c r="S172" s="34"/>
      <x:c r="T172" s="33" t="str">
        <x:f>IF(I172="Concluída",IF(OR(S172="",M172=""),"Falta evidência/data","Confirmada"),"Não confirmada")</x:f>
        <x:v>Não confirmada</x:v>
      </x:c>
      <x:c r="U172" s="33" t="str">
        <x:f>IF(T172="Confirmada","Concluída",IF(I172="Cancelada","Cancelada",IF(L172="","Sem prazo",IF(L172&lt;TODAY(),"Prazo vencido","No prazo"))))</x:f>
        <x:v>Sem prazo</x:v>
      </x:c>
      <x:c r="V172" s="34"/>
    </x:row>
    <x:row r="173" ht="62" customHeight="1">
      <x:c r="A173" s="33" t="str">
        <x:v>PACK-03-VRT-02</x:v>
      </x:c>
      <x:c r="B173" s="33" t="str">
        <x:v>AR-02</x:v>
      </x:c>
      <x:c r="C173" s="33" t="str">
        <x:v>OBJ-02</x:v>
      </x:c>
      <x:c r="D173" s="33" t="str">
        <x:v>Produzir vídeo vertical 2 do PACK-03</x:v>
      </x:c>
      <x:c r="E173" s="33" t="str">
        <x:v>MP4; 9:16; 1080×1920; 20–60 s. Shorts/Reels/TikTok são adaptações, sem contar novos masters.. Revisão e arquivo final registrados.</x:v>
      </x:c>
      <x:c r="F173" s="33" t="str">
        <x:v>PACK-03</x:v>
      </x:c>
      <x:c r="G173" s="33" t="str">
        <x:v>VRT</x:v>
      </x:c>
      <x:c r="H173" s="33" t="str">
        <x:v>Obrigatório</x:v>
      </x:c>
      <x:c r="I173" s="34" t="str">
        <x:v>A confirmar</x:v>
      </x:c>
      <x:c r="J173" s="34" t="str">
        <x:v>A definir</x:v>
      </x:c>
      <x:c r="K173" s="35"/>
      <x:c r="L173" s="35"/>
      <x:c r="M173" s="35"/>
      <x:c r="N173" s="33" t="str">
        <x:v>PACK-03-ART-01;PACK-03-VID-01</x:v>
      </x:c>
      <x:c r="O173" s="33" t="str"/>
      <x:c r="P173" s="33" t="str">
        <x:v>GTM-03;GTM-05</x:v>
      </x:c>
      <x:c r="Q173" s="33" t="str">
        <x:v>11.2;2.6</x:v>
      </x:c>
      <x:c r="R173" s="33" t="str">
        <x:v>Decomposição proposta</x:v>
      </x:c>
      <x:c r="S173" s="34"/>
      <x:c r="T173" s="33" t="str">
        <x:f>IF(I173="Concluída",IF(OR(S173="",M173=""),"Falta evidência/data","Confirmada"),"Não confirmada")</x:f>
        <x:v>Não confirmada</x:v>
      </x:c>
      <x:c r="U173" s="33" t="str">
        <x:f>IF(T173="Confirmada","Concluída",IF(I173="Cancelada","Cancelada",IF(L173="","Sem prazo",IF(L173&lt;TODAY(),"Prazo vencido","No prazo"))))</x:f>
        <x:v>Sem prazo</x:v>
      </x:c>
      <x:c r="V173" s="34"/>
    </x:row>
    <x:row r="174" ht="62" customHeight="1">
      <x:c r="A174" s="33" t="str">
        <x:v>PACK-03-VRT-03</x:v>
      </x:c>
      <x:c r="B174" s="33" t="str">
        <x:v>AR-02</x:v>
      </x:c>
      <x:c r="C174" s="33" t="str">
        <x:v>OBJ-02</x:v>
      </x:c>
      <x:c r="D174" s="33" t="str">
        <x:v>Produzir vídeo vertical 3 do PACK-03</x:v>
      </x:c>
      <x:c r="E174" s="33" t="str">
        <x:v>MP4; 9:16; 1080×1920; 20–60 s. Shorts/Reels/TikTok são adaptações, sem contar novos masters.. Revisão e arquivo final registrados.</x:v>
      </x:c>
      <x:c r="F174" s="33" t="str">
        <x:v>PACK-03</x:v>
      </x:c>
      <x:c r="G174" s="33" t="str">
        <x:v>VRT</x:v>
      </x:c>
      <x:c r="H174" s="33" t="str">
        <x:v>Obrigatório</x:v>
      </x:c>
      <x:c r="I174" s="34" t="str">
        <x:v>A confirmar</x:v>
      </x:c>
      <x:c r="J174" s="34" t="str">
        <x:v>A definir</x:v>
      </x:c>
      <x:c r="K174" s="35"/>
      <x:c r="L174" s="35"/>
      <x:c r="M174" s="35"/>
      <x:c r="N174" s="33" t="str">
        <x:v>PACK-03-ART-01;PACK-03-VID-01</x:v>
      </x:c>
      <x:c r="O174" s="33" t="str"/>
      <x:c r="P174" s="33" t="str">
        <x:v>GTM-03;GTM-05</x:v>
      </x:c>
      <x:c r="Q174" s="33" t="str">
        <x:v>11.2;2.6</x:v>
      </x:c>
      <x:c r="R174" s="33" t="str">
        <x:v>Decomposição proposta</x:v>
      </x:c>
      <x:c r="S174" s="34"/>
      <x:c r="T174" s="33" t="str">
        <x:f>IF(I174="Concluída",IF(OR(S174="",M174=""),"Falta evidência/data","Confirmada"),"Não confirmada")</x:f>
        <x:v>Não confirmada</x:v>
      </x:c>
      <x:c r="U174" s="33" t="str">
        <x:f>IF(T174="Confirmada","Concluída",IF(I174="Cancelada","Cancelada",IF(L174="","Sem prazo",IF(L174&lt;TODAY(),"Prazo vencido","No prazo"))))</x:f>
        <x:v>Sem prazo</x:v>
      </x:c>
      <x:c r="V174" s="34"/>
    </x:row>
    <x:row r="175" ht="62" customHeight="1">
      <x:c r="A175" s="33" t="str">
        <x:v>PACK-03-VRT-04</x:v>
      </x:c>
      <x:c r="B175" s="33" t="str">
        <x:v>AR-02</x:v>
      </x:c>
      <x:c r="C175" s="33" t="str">
        <x:v>OBJ-02</x:v>
      </x:c>
      <x:c r="D175" s="33" t="str">
        <x:v>Produzir vídeo vertical 4 do PACK-03</x:v>
      </x:c>
      <x:c r="E175" s="33" t="str">
        <x:v>MP4; 9:16; 1080×1920; 20–60 s. Shorts/Reels/TikTok são adaptações, sem contar novos masters.. Revisão e arquivo final registrados.</x:v>
      </x:c>
      <x:c r="F175" s="33" t="str">
        <x:v>PACK-03</x:v>
      </x:c>
      <x:c r="G175" s="33" t="str">
        <x:v>VRT</x:v>
      </x:c>
      <x:c r="H175" s="33" t="str">
        <x:v>Obrigatório</x:v>
      </x:c>
      <x:c r="I175" s="34" t="str">
        <x:v>A confirmar</x:v>
      </x:c>
      <x:c r="J175" s="34" t="str">
        <x:v>A definir</x:v>
      </x:c>
      <x:c r="K175" s="35"/>
      <x:c r="L175" s="35"/>
      <x:c r="M175" s="35"/>
      <x:c r="N175" s="33" t="str">
        <x:v>PACK-03-ART-01;PACK-03-VID-01</x:v>
      </x:c>
      <x:c r="O175" s="33" t="str"/>
      <x:c r="P175" s="33" t="str">
        <x:v>GTM-03;GTM-05</x:v>
      </x:c>
      <x:c r="Q175" s="33" t="str">
        <x:v>11.2;2.6</x:v>
      </x:c>
      <x:c r="R175" s="33" t="str">
        <x:v>Decomposição proposta</x:v>
      </x:c>
      <x:c r="S175" s="34"/>
      <x:c r="T175" s="33" t="str">
        <x:f>IF(I175="Concluída",IF(OR(S175="",M175=""),"Falta evidência/data","Confirmada"),"Não confirmada")</x:f>
        <x:v>Não confirmada</x:v>
      </x:c>
      <x:c r="U175" s="33" t="str">
        <x:f>IF(T175="Confirmada","Concluída",IF(I175="Cancelada","Cancelada",IF(L175="","Sem prazo",IF(L175&lt;TODAY(),"Prazo vencido","No prazo"))))</x:f>
        <x:v>Sem prazo</x:v>
      </x:c>
      <x:c r="V175" s="34"/>
    </x:row>
    <x:row r="176" ht="62" customHeight="1">
      <x:c r="A176" s="33" t="str">
        <x:v>PACK-03-CRS-01</x:v>
      </x:c>
      <x:c r="B176" s="33" t="str">
        <x:v>AR-02</x:v>
      </x:c>
      <x:c r="C176" s="33" t="str">
        <x:v>OBJ-02</x:v>
      </x:c>
      <x:c r="D176" s="33" t="str">
        <x:v>Produzir carrossel 1 do PACK-03</x:v>
      </x:c>
      <x:c r="E176" s="33" t="str">
        <x:v>PNG/JPG ou PDF; 1080×1350; 6–10 páginas. Revisão e arquivo final registrados.</x:v>
      </x:c>
      <x:c r="F176" s="33" t="str">
        <x:v>PACK-03</x:v>
      </x:c>
      <x:c r="G176" s="33" t="str">
        <x:v>CRS</x:v>
      </x:c>
      <x:c r="H176" s="33" t="str">
        <x:v>Obrigatório</x:v>
      </x:c>
      <x:c r="I176" s="34" t="str">
        <x:v>A confirmar</x:v>
      </x:c>
      <x:c r="J176" s="34" t="str">
        <x:v>A definir</x:v>
      </x:c>
      <x:c r="K176" s="35"/>
      <x:c r="L176" s="35"/>
      <x:c r="M176" s="35"/>
      <x:c r="N176" s="33" t="str">
        <x:v>PACK-03-ART-01;PACK-03-VID-01</x:v>
      </x:c>
      <x:c r="O176" s="33" t="str"/>
      <x:c r="P176" s="33" t="str">
        <x:v>GTM-03;GTM-05</x:v>
      </x:c>
      <x:c r="Q176" s="33" t="str">
        <x:v>11.2;2.6</x:v>
      </x:c>
      <x:c r="R176" s="33" t="str">
        <x:v>Decomposição proposta</x:v>
      </x:c>
      <x:c r="S176" s="34"/>
      <x:c r="T176" s="33" t="str">
        <x:f>IF(I176="Concluída",IF(OR(S176="",M176=""),"Falta evidência/data","Confirmada"),"Não confirmada")</x:f>
        <x:v>Não confirmada</x:v>
      </x:c>
      <x:c r="U176" s="33" t="str">
        <x:f>IF(T176="Confirmada","Concluída",IF(I176="Cancelada","Cancelada",IF(L176="","Sem prazo",IF(L176&lt;TODAY(),"Prazo vencido","No prazo"))))</x:f>
        <x:v>Sem prazo</x:v>
      </x:c>
      <x:c r="V176" s="34"/>
    </x:row>
    <x:row r="177" ht="62" customHeight="1">
      <x:c r="A177" s="33" t="str">
        <x:v>PACK-03-CRS-02</x:v>
      </x:c>
      <x:c r="B177" s="33" t="str">
        <x:v>AR-02</x:v>
      </x:c>
      <x:c r="C177" s="33" t="str">
        <x:v>OBJ-02</x:v>
      </x:c>
      <x:c r="D177" s="33" t="str">
        <x:v>Produzir carrossel 2 do PACK-03</x:v>
      </x:c>
      <x:c r="E177" s="33" t="str">
        <x:v>PNG/JPG ou PDF; 1080×1350; 6–10 páginas. Revisão e arquivo final registrados.</x:v>
      </x:c>
      <x:c r="F177" s="33" t="str">
        <x:v>PACK-03</x:v>
      </x:c>
      <x:c r="G177" s="33" t="str">
        <x:v>CRS</x:v>
      </x:c>
      <x:c r="H177" s="33" t="str">
        <x:v>Obrigatório</x:v>
      </x:c>
      <x:c r="I177" s="34" t="str">
        <x:v>A confirmar</x:v>
      </x:c>
      <x:c r="J177" s="34" t="str">
        <x:v>A definir</x:v>
      </x:c>
      <x:c r="K177" s="35"/>
      <x:c r="L177" s="35"/>
      <x:c r="M177" s="35"/>
      <x:c r="N177" s="33" t="str">
        <x:v>PACK-03-ART-01;PACK-03-VID-01</x:v>
      </x:c>
      <x:c r="O177" s="33" t="str"/>
      <x:c r="P177" s="33" t="str">
        <x:v>GTM-03;GTM-05</x:v>
      </x:c>
      <x:c r="Q177" s="33" t="str">
        <x:v>11.2;2.6</x:v>
      </x:c>
      <x:c r="R177" s="33" t="str">
        <x:v>Decomposição proposta</x:v>
      </x:c>
      <x:c r="S177" s="34"/>
      <x:c r="T177" s="33" t="str">
        <x:f>IF(I177="Concluída",IF(OR(S177="",M177=""),"Falta evidência/data","Confirmada"),"Não confirmada")</x:f>
        <x:v>Não confirmada</x:v>
      </x:c>
      <x:c r="U177" s="33" t="str">
        <x:f>IF(T177="Confirmada","Concluída",IF(I177="Cancelada","Cancelada",IF(L177="","Sem prazo",IF(L177&lt;TODAY(),"Prazo vencido","No prazo"))))</x:f>
        <x:v>Sem prazo</x:v>
      </x:c>
      <x:c r="V177" s="34"/>
    </x:row>
    <x:row r="178" ht="62" customHeight="1">
      <x:c r="A178" s="33" t="str">
        <x:v>PACK-03-CRS-03</x:v>
      </x:c>
      <x:c r="B178" s="33" t="str">
        <x:v>AR-02</x:v>
      </x:c>
      <x:c r="C178" s="33" t="str">
        <x:v>OBJ-02</x:v>
      </x:c>
      <x:c r="D178" s="33" t="str">
        <x:v>Produzir carrossel 3 do PACK-03</x:v>
      </x:c>
      <x:c r="E178" s="33" t="str">
        <x:v>PNG/JPG ou PDF; 1080×1350; 6–10 páginas. Revisão e arquivo final registrados.</x:v>
      </x:c>
      <x:c r="F178" s="33" t="str">
        <x:v>PACK-03</x:v>
      </x:c>
      <x:c r="G178" s="33" t="str">
        <x:v>CRS</x:v>
      </x:c>
      <x:c r="H178" s="33" t="str">
        <x:v>Obrigatório</x:v>
      </x:c>
      <x:c r="I178" s="34" t="str">
        <x:v>A confirmar</x:v>
      </x:c>
      <x:c r="J178" s="34" t="str">
        <x:v>A definir</x:v>
      </x:c>
      <x:c r="K178" s="35"/>
      <x:c r="L178" s="35"/>
      <x:c r="M178" s="35"/>
      <x:c r="N178" s="33" t="str">
        <x:v>PACK-03-ART-01;PACK-03-VID-01</x:v>
      </x:c>
      <x:c r="O178" s="33" t="str"/>
      <x:c r="P178" s="33" t="str">
        <x:v>GTM-03;GTM-05</x:v>
      </x:c>
      <x:c r="Q178" s="33" t="str">
        <x:v>11.2;2.6</x:v>
      </x:c>
      <x:c r="R178" s="33" t="str">
        <x:v>Decomposição proposta</x:v>
      </x:c>
      <x:c r="S178" s="34"/>
      <x:c r="T178" s="33" t="str">
        <x:f>IF(I178="Concluída",IF(OR(S178="",M178=""),"Falta evidência/data","Confirmada"),"Não confirmada")</x:f>
        <x:v>Não confirmada</x:v>
      </x:c>
      <x:c r="U178" s="33" t="str">
        <x:f>IF(T178="Confirmada","Concluída",IF(I178="Cancelada","Cancelada",IF(L178="","Sem prazo",IF(L178&lt;TODAY(),"Prazo vencido","No prazo"))))</x:f>
        <x:v>Sem prazo</x:v>
      </x:c>
      <x:c r="V178" s="34"/>
    </x:row>
    <x:row r="179" ht="62" customHeight="1">
      <x:c r="A179" s="33" t="str">
        <x:v>PACK-03-CRS-04</x:v>
      </x:c>
      <x:c r="B179" s="33" t="str">
        <x:v>AR-02</x:v>
      </x:c>
      <x:c r="C179" s="33" t="str">
        <x:v>OBJ-02</x:v>
      </x:c>
      <x:c r="D179" s="33" t="str">
        <x:v>Produzir carrossel 4 do PACK-03</x:v>
      </x:c>
      <x:c r="E179" s="33" t="str">
        <x:v>PNG/JPG ou PDF; 1080×1350; 6–10 páginas. Revisão e arquivo final registrados.</x:v>
      </x:c>
      <x:c r="F179" s="33" t="str">
        <x:v>PACK-03</x:v>
      </x:c>
      <x:c r="G179" s="33" t="str">
        <x:v>CRS</x:v>
      </x:c>
      <x:c r="H179" s="33" t="str">
        <x:v>Obrigatório</x:v>
      </x:c>
      <x:c r="I179" s="34" t="str">
        <x:v>A confirmar</x:v>
      </x:c>
      <x:c r="J179" s="34" t="str">
        <x:v>A definir</x:v>
      </x:c>
      <x:c r="K179" s="35"/>
      <x:c r="L179" s="35"/>
      <x:c r="M179" s="35"/>
      <x:c r="N179" s="33" t="str">
        <x:v>PACK-03-ART-01;PACK-03-VID-01</x:v>
      </x:c>
      <x:c r="O179" s="33" t="str"/>
      <x:c r="P179" s="33" t="str">
        <x:v>GTM-03;GTM-05</x:v>
      </x:c>
      <x:c r="Q179" s="33" t="str">
        <x:v>11.2;2.6</x:v>
      </x:c>
      <x:c r="R179" s="33" t="str">
        <x:v>Decomposição proposta</x:v>
      </x:c>
      <x:c r="S179" s="34"/>
      <x:c r="T179" s="33" t="str">
        <x:f>IF(I179="Concluída",IF(OR(S179="",M179=""),"Falta evidência/data","Confirmada"),"Não confirmada")</x:f>
        <x:v>Não confirmada</x:v>
      </x:c>
      <x:c r="U179" s="33" t="str">
        <x:f>IF(T179="Confirmada","Concluída",IF(I179="Cancelada","Cancelada",IF(L179="","Sem prazo",IF(L179&lt;TODAY(),"Prazo vencido","No prazo"))))</x:f>
        <x:v>Sem prazo</x:v>
      </x:c>
      <x:c r="V179" s="34"/>
    </x:row>
    <x:row r="180" ht="62" customHeight="1">
      <x:c r="A180" s="33" t="str">
        <x:v>PACK-03-CRS-05</x:v>
      </x:c>
      <x:c r="B180" s="33" t="str">
        <x:v>AR-02</x:v>
      </x:c>
      <x:c r="C180" s="33" t="str">
        <x:v>OBJ-02</x:v>
      </x:c>
      <x:c r="D180" s="33" t="str">
        <x:v>Produzir carrossel 5 do PACK-03</x:v>
      </x:c>
      <x:c r="E180" s="33" t="str">
        <x:v>PNG/JPG ou PDF; 1080×1350; 6–10 páginas. Revisão e arquivo final registrados.</x:v>
      </x:c>
      <x:c r="F180" s="33" t="str">
        <x:v>PACK-03</x:v>
      </x:c>
      <x:c r="G180" s="33" t="str">
        <x:v>CRS</x:v>
      </x:c>
      <x:c r="H180" s="33" t="str">
        <x:v>Obrigatório</x:v>
      </x:c>
      <x:c r="I180" s="34" t="str">
        <x:v>A confirmar</x:v>
      </x:c>
      <x:c r="J180" s="34" t="str">
        <x:v>A definir</x:v>
      </x:c>
      <x:c r="K180" s="35"/>
      <x:c r="L180" s="35"/>
      <x:c r="M180" s="35"/>
      <x:c r="N180" s="33" t="str">
        <x:v>PACK-03-ART-01;PACK-03-VID-01</x:v>
      </x:c>
      <x:c r="O180" s="33" t="str"/>
      <x:c r="P180" s="33" t="str">
        <x:v>GTM-03;GTM-05</x:v>
      </x:c>
      <x:c r="Q180" s="33" t="str">
        <x:v>11.2;2.6</x:v>
      </x:c>
      <x:c r="R180" s="33" t="str">
        <x:v>Decomposição proposta</x:v>
      </x:c>
      <x:c r="S180" s="34"/>
      <x:c r="T180" s="33" t="str">
        <x:f>IF(I180="Concluída",IF(OR(S180="",M180=""),"Falta evidência/data","Confirmada"),"Não confirmada")</x:f>
        <x:v>Não confirmada</x:v>
      </x:c>
      <x:c r="U180" s="33" t="str">
        <x:f>IF(T180="Confirmada","Concluída",IF(I180="Cancelada","Cancelada",IF(L180="","Sem prazo",IF(L180&lt;TODAY(),"Prazo vencido","No prazo"))))</x:f>
        <x:v>Sem prazo</x:v>
      </x:c>
      <x:c r="V180" s="34"/>
    </x:row>
    <x:row r="181" ht="62" customHeight="1">
      <x:c r="A181" s="33" t="str">
        <x:v>PACK-03-CRS-06</x:v>
      </x:c>
      <x:c r="B181" s="33" t="str">
        <x:v>AR-02</x:v>
      </x:c>
      <x:c r="C181" s="33" t="str">
        <x:v>OBJ-02</x:v>
      </x:c>
      <x:c r="D181" s="33" t="str">
        <x:v>Produzir carrossel 6 do PACK-03</x:v>
      </x:c>
      <x:c r="E181" s="33" t="str">
        <x:v>PNG/JPG ou PDF; 1080×1350; 6–10 páginas. Revisão e arquivo final registrados.</x:v>
      </x:c>
      <x:c r="F181" s="33" t="str">
        <x:v>PACK-03</x:v>
      </x:c>
      <x:c r="G181" s="33" t="str">
        <x:v>CRS</x:v>
      </x:c>
      <x:c r="H181" s="33" t="str">
        <x:v>Obrigatório</x:v>
      </x:c>
      <x:c r="I181" s="34" t="str">
        <x:v>A confirmar</x:v>
      </x:c>
      <x:c r="J181" s="34" t="str">
        <x:v>A definir</x:v>
      </x:c>
      <x:c r="K181" s="35"/>
      <x:c r="L181" s="35"/>
      <x:c r="M181" s="35"/>
      <x:c r="N181" s="33" t="str">
        <x:v>PACK-03-ART-01;PACK-03-VID-01</x:v>
      </x:c>
      <x:c r="O181" s="33" t="str"/>
      <x:c r="P181" s="33" t="str">
        <x:v>GTM-03;GTM-05</x:v>
      </x:c>
      <x:c r="Q181" s="33" t="str">
        <x:v>11.2;2.6</x:v>
      </x:c>
      <x:c r="R181" s="33" t="str">
        <x:v>Decomposição proposta</x:v>
      </x:c>
      <x:c r="S181" s="34"/>
      <x:c r="T181" s="33" t="str">
        <x:f>IF(I181="Concluída",IF(OR(S181="",M181=""),"Falta evidência/data","Confirmada"),"Não confirmada")</x:f>
        <x:v>Não confirmada</x:v>
      </x:c>
      <x:c r="U181" s="33" t="str">
        <x:f>IF(T181="Confirmada","Concluída",IF(I181="Cancelada","Cancelada",IF(L181="","Sem prazo",IF(L181&lt;TODAY(),"Prazo vencido","No prazo"))))</x:f>
        <x:v>Sem prazo</x:v>
      </x:c>
      <x:c r="V181" s="34"/>
    </x:row>
    <x:row r="182" ht="62" customHeight="1">
      <x:c r="A182" s="33" t="str">
        <x:v>PACK-03-IMG-01</x:v>
      </x:c>
      <x:c r="B182" s="33" t="str">
        <x:v>AR-02</x:v>
      </x:c>
      <x:c r="C182" s="33" t="str">
        <x:v>OBJ-02</x:v>
      </x:c>
      <x:c r="D182" s="33" t="str">
        <x:v>Produzir imagem estática 1 do PACK-03</x:v>
      </x:c>
      <x:c r="E182" s="33" t="str">
        <x:v>PNG/JPG; 1080×1350; alternativa 1080×1080. Revisão e arquivo final registrados.</x:v>
      </x:c>
      <x:c r="F182" s="33" t="str">
        <x:v>PACK-03</x:v>
      </x:c>
      <x:c r="G182" s="33" t="str">
        <x:v>IMG</x:v>
      </x:c>
      <x:c r="H182" s="33" t="str">
        <x:v>Obrigatório</x:v>
      </x:c>
      <x:c r="I182" s="34" t="str">
        <x:v>A confirmar</x:v>
      </x:c>
      <x:c r="J182" s="34" t="str">
        <x:v>A definir</x:v>
      </x:c>
      <x:c r="K182" s="35"/>
      <x:c r="L182" s="35"/>
      <x:c r="M182" s="35"/>
      <x:c r="N182" s="33" t="str">
        <x:v>PACK-03-ART-01;PACK-03-VID-01</x:v>
      </x:c>
      <x:c r="O182" s="33" t="str"/>
      <x:c r="P182" s="33" t="str">
        <x:v>GTM-03;GTM-05</x:v>
      </x:c>
      <x:c r="Q182" s="33" t="str">
        <x:v>11.2;2.6</x:v>
      </x:c>
      <x:c r="R182" s="33" t="str">
        <x:v>Decomposição proposta</x:v>
      </x:c>
      <x:c r="S182" s="34"/>
      <x:c r="T182" s="33" t="str">
        <x:f>IF(I182="Concluída",IF(OR(S182="",M182=""),"Falta evidência/data","Confirmada"),"Não confirmada")</x:f>
        <x:v>Não confirmada</x:v>
      </x:c>
      <x:c r="U182" s="33" t="str">
        <x:f>IF(T182="Confirmada","Concluída",IF(I182="Cancelada","Cancelada",IF(L182="","Sem prazo",IF(L182&lt;TODAY(),"Prazo vencido","No prazo"))))</x:f>
        <x:v>Sem prazo</x:v>
      </x:c>
      <x:c r="V182" s="34"/>
    </x:row>
    <x:row r="183" ht="62" customHeight="1">
      <x:c r="A183" s="33" t="str">
        <x:v>PACK-03-IMG-02</x:v>
      </x:c>
      <x:c r="B183" s="33" t="str">
        <x:v>AR-02</x:v>
      </x:c>
      <x:c r="C183" s="33" t="str">
        <x:v>OBJ-02</x:v>
      </x:c>
      <x:c r="D183" s="33" t="str">
        <x:v>Produzir imagem estática 2 do PACK-03</x:v>
      </x:c>
      <x:c r="E183" s="33" t="str">
        <x:v>PNG/JPG; 1080×1350; alternativa 1080×1080. Revisão e arquivo final registrados.</x:v>
      </x:c>
      <x:c r="F183" s="33" t="str">
        <x:v>PACK-03</x:v>
      </x:c>
      <x:c r="G183" s="33" t="str">
        <x:v>IMG</x:v>
      </x:c>
      <x:c r="H183" s="33" t="str">
        <x:v>Obrigatório</x:v>
      </x:c>
      <x:c r="I183" s="34" t="str">
        <x:v>A confirmar</x:v>
      </x:c>
      <x:c r="J183" s="34" t="str">
        <x:v>A definir</x:v>
      </x:c>
      <x:c r="K183" s="35"/>
      <x:c r="L183" s="35"/>
      <x:c r="M183" s="35"/>
      <x:c r="N183" s="33" t="str">
        <x:v>PACK-03-ART-01;PACK-03-VID-01</x:v>
      </x:c>
      <x:c r="O183" s="33" t="str"/>
      <x:c r="P183" s="33" t="str">
        <x:v>GTM-03;GTM-05</x:v>
      </x:c>
      <x:c r="Q183" s="33" t="str">
        <x:v>11.2;2.6</x:v>
      </x:c>
      <x:c r="R183" s="33" t="str">
        <x:v>Decomposição proposta</x:v>
      </x:c>
      <x:c r="S183" s="34"/>
      <x:c r="T183" s="33" t="str">
        <x:f>IF(I183="Concluída",IF(OR(S183="",M183=""),"Falta evidência/data","Confirmada"),"Não confirmada")</x:f>
        <x:v>Não confirmada</x:v>
      </x:c>
      <x:c r="U183" s="33" t="str">
        <x:f>IF(T183="Confirmada","Concluída",IF(I183="Cancelada","Cancelada",IF(L183="","Sem prazo",IF(L183&lt;TODAY(),"Prazo vencido","No prazo"))))</x:f>
        <x:v>Sem prazo</x:v>
      </x:c>
      <x:c r="V183" s="34"/>
    </x:row>
    <x:row r="184" ht="62" customHeight="1">
      <x:c r="A184" s="33" t="str">
        <x:v>PACK-03-IMG-03</x:v>
      </x:c>
      <x:c r="B184" s="33" t="str">
        <x:v>AR-02</x:v>
      </x:c>
      <x:c r="C184" s="33" t="str">
        <x:v>OBJ-02</x:v>
      </x:c>
      <x:c r="D184" s="33" t="str">
        <x:v>Produzir imagem estática 3 do PACK-03</x:v>
      </x:c>
      <x:c r="E184" s="33" t="str">
        <x:v>PNG/JPG; 1080×1350; alternativa 1080×1080. Revisão e arquivo final registrados.</x:v>
      </x:c>
      <x:c r="F184" s="33" t="str">
        <x:v>PACK-03</x:v>
      </x:c>
      <x:c r="G184" s="33" t="str">
        <x:v>IMG</x:v>
      </x:c>
      <x:c r="H184" s="33" t="str">
        <x:v>Obrigatório</x:v>
      </x:c>
      <x:c r="I184" s="34" t="str">
        <x:v>A confirmar</x:v>
      </x:c>
      <x:c r="J184" s="34" t="str">
        <x:v>A definir</x:v>
      </x:c>
      <x:c r="K184" s="35"/>
      <x:c r="L184" s="35"/>
      <x:c r="M184" s="35"/>
      <x:c r="N184" s="33" t="str">
        <x:v>PACK-03-ART-01;PACK-03-VID-01</x:v>
      </x:c>
      <x:c r="O184" s="33" t="str"/>
      <x:c r="P184" s="33" t="str">
        <x:v>GTM-03;GTM-05</x:v>
      </x:c>
      <x:c r="Q184" s="33" t="str">
        <x:v>11.2;2.6</x:v>
      </x:c>
      <x:c r="R184" s="33" t="str">
        <x:v>Decomposição proposta</x:v>
      </x:c>
      <x:c r="S184" s="34"/>
      <x:c r="T184" s="33" t="str">
        <x:f>IF(I184="Concluída",IF(OR(S184="",M184=""),"Falta evidência/data","Confirmada"),"Não confirmada")</x:f>
        <x:v>Não confirmada</x:v>
      </x:c>
      <x:c r="U184" s="33" t="str">
        <x:f>IF(T184="Confirmada","Concluída",IF(I184="Cancelada","Cancelada",IF(L184="","Sem prazo",IF(L184&lt;TODAY(),"Prazo vencido","No prazo"))))</x:f>
        <x:v>Sem prazo</x:v>
      </x:c>
      <x:c r="V184" s="34"/>
    </x:row>
    <x:row r="185" ht="62" customHeight="1">
      <x:c r="A185" s="33" t="str">
        <x:v>PACK-03-IMG-04</x:v>
      </x:c>
      <x:c r="B185" s="33" t="str">
        <x:v>AR-02</x:v>
      </x:c>
      <x:c r="C185" s="33" t="str">
        <x:v>OBJ-02</x:v>
      </x:c>
      <x:c r="D185" s="33" t="str">
        <x:v>Produzir imagem estática 4 do PACK-03</x:v>
      </x:c>
      <x:c r="E185" s="33" t="str">
        <x:v>PNG/JPG; 1080×1350; alternativa 1080×1080. Revisão e arquivo final registrados.</x:v>
      </x:c>
      <x:c r="F185" s="33" t="str">
        <x:v>PACK-03</x:v>
      </x:c>
      <x:c r="G185" s="33" t="str">
        <x:v>IMG</x:v>
      </x:c>
      <x:c r="H185" s="33" t="str">
        <x:v>Obrigatório</x:v>
      </x:c>
      <x:c r="I185" s="34" t="str">
        <x:v>A confirmar</x:v>
      </x:c>
      <x:c r="J185" s="34" t="str">
        <x:v>A definir</x:v>
      </x:c>
      <x:c r="K185" s="35"/>
      <x:c r="L185" s="35"/>
      <x:c r="M185" s="35"/>
      <x:c r="N185" s="33" t="str">
        <x:v>PACK-03-ART-01;PACK-03-VID-01</x:v>
      </x:c>
      <x:c r="O185" s="33" t="str"/>
      <x:c r="P185" s="33" t="str">
        <x:v>GTM-03;GTM-05</x:v>
      </x:c>
      <x:c r="Q185" s="33" t="str">
        <x:v>11.2;2.6</x:v>
      </x:c>
      <x:c r="R185" s="33" t="str">
        <x:v>Decomposição proposta</x:v>
      </x:c>
      <x:c r="S185" s="34"/>
      <x:c r="T185" s="33" t="str">
        <x:f>IF(I185="Concluída",IF(OR(S185="",M185=""),"Falta evidência/data","Confirmada"),"Não confirmada")</x:f>
        <x:v>Não confirmada</x:v>
      </x:c>
      <x:c r="U185" s="33" t="str">
        <x:f>IF(T185="Confirmada","Concluída",IF(I185="Cancelada","Cancelada",IF(L185="","Sem prazo",IF(L185&lt;TODAY(),"Prazo vencido","No prazo"))))</x:f>
        <x:v>Sem prazo</x:v>
      </x:c>
      <x:c r="V185" s="34"/>
    </x:row>
    <x:row r="186" ht="62" customHeight="1">
      <x:c r="A186" s="33" t="str">
        <x:v>PACK-03-IMG-05</x:v>
      </x:c>
      <x:c r="B186" s="33" t="str">
        <x:v>AR-02</x:v>
      </x:c>
      <x:c r="C186" s="33" t="str">
        <x:v>OBJ-02</x:v>
      </x:c>
      <x:c r="D186" s="33" t="str">
        <x:v>Produzir imagem estática 5 do PACK-03</x:v>
      </x:c>
      <x:c r="E186" s="33" t="str">
        <x:v>PNG/JPG; 1080×1350; alternativa 1080×1080. Revisão e arquivo final registrados.</x:v>
      </x:c>
      <x:c r="F186" s="33" t="str">
        <x:v>PACK-03</x:v>
      </x:c>
      <x:c r="G186" s="33" t="str">
        <x:v>IMG</x:v>
      </x:c>
      <x:c r="H186" s="33" t="str">
        <x:v>Obrigatório</x:v>
      </x:c>
      <x:c r="I186" s="34" t="str">
        <x:v>A confirmar</x:v>
      </x:c>
      <x:c r="J186" s="34" t="str">
        <x:v>A definir</x:v>
      </x:c>
      <x:c r="K186" s="35"/>
      <x:c r="L186" s="35"/>
      <x:c r="M186" s="35"/>
      <x:c r="N186" s="33" t="str">
        <x:v>PACK-03-ART-01;PACK-03-VID-01</x:v>
      </x:c>
      <x:c r="O186" s="33" t="str"/>
      <x:c r="P186" s="33" t="str">
        <x:v>GTM-03;GTM-05</x:v>
      </x:c>
      <x:c r="Q186" s="33" t="str">
        <x:v>11.2;2.6</x:v>
      </x:c>
      <x:c r="R186" s="33" t="str">
        <x:v>Decomposição proposta</x:v>
      </x:c>
      <x:c r="S186" s="34"/>
      <x:c r="T186" s="33" t="str">
        <x:f>IF(I186="Concluída",IF(OR(S186="",M186=""),"Falta evidência/data","Confirmada"),"Não confirmada")</x:f>
        <x:v>Não confirmada</x:v>
      </x:c>
      <x:c r="U186" s="33" t="str">
        <x:f>IF(T186="Confirmada","Concluída",IF(I186="Cancelada","Cancelada",IF(L186="","Sem prazo",IF(L186&lt;TODAY(),"Prazo vencido","No prazo"))))</x:f>
        <x:v>Sem prazo</x:v>
      </x:c>
      <x:c r="V186" s="34"/>
    </x:row>
    <x:row r="187" ht="62" customHeight="1">
      <x:c r="A187" s="33" t="str">
        <x:v>PACK-03-IMG-06</x:v>
      </x:c>
      <x:c r="B187" s="33" t="str">
        <x:v>AR-02</x:v>
      </x:c>
      <x:c r="C187" s="33" t="str">
        <x:v>OBJ-02</x:v>
      </x:c>
      <x:c r="D187" s="33" t="str">
        <x:v>Produzir imagem estática 6 do PACK-03</x:v>
      </x:c>
      <x:c r="E187" s="33" t="str">
        <x:v>PNG/JPG; 1080×1350; alternativa 1080×1080. Revisão e arquivo final registrados.</x:v>
      </x:c>
      <x:c r="F187" s="33" t="str">
        <x:v>PACK-03</x:v>
      </x:c>
      <x:c r="G187" s="33" t="str">
        <x:v>IMG</x:v>
      </x:c>
      <x:c r="H187" s="33" t="str">
        <x:v>Obrigatório</x:v>
      </x:c>
      <x:c r="I187" s="34" t="str">
        <x:v>A confirmar</x:v>
      </x:c>
      <x:c r="J187" s="34" t="str">
        <x:v>A definir</x:v>
      </x:c>
      <x:c r="K187" s="35"/>
      <x:c r="L187" s="35"/>
      <x:c r="M187" s="35"/>
      <x:c r="N187" s="33" t="str">
        <x:v>PACK-03-ART-01;PACK-03-VID-01</x:v>
      </x:c>
      <x:c r="O187" s="33" t="str"/>
      <x:c r="P187" s="33" t="str">
        <x:v>GTM-03;GTM-05</x:v>
      </x:c>
      <x:c r="Q187" s="33" t="str">
        <x:v>11.2;2.6</x:v>
      </x:c>
      <x:c r="R187" s="33" t="str">
        <x:v>Decomposição proposta</x:v>
      </x:c>
      <x:c r="S187" s="34"/>
      <x:c r="T187" s="33" t="str">
        <x:f>IF(I187="Concluída",IF(OR(S187="",M187=""),"Falta evidência/data","Confirmada"),"Não confirmada")</x:f>
        <x:v>Não confirmada</x:v>
      </x:c>
      <x:c r="U187" s="33" t="str">
        <x:f>IF(T187="Confirmada","Concluída",IF(I187="Cancelada","Cancelada",IF(L187="","Sem prazo",IF(L187&lt;TODAY(),"Prazo vencido","No prazo"))))</x:f>
        <x:v>Sem prazo</x:v>
      </x:c>
      <x:c r="V187" s="34"/>
    </x:row>
    <x:row r="188" ht="62" customHeight="1">
      <x:c r="A188" s="33" t="str">
        <x:v>PACK-03-INF-01</x:v>
      </x:c>
      <x:c r="B188" s="33" t="str">
        <x:v>AR-02</x:v>
      </x:c>
      <x:c r="C188" s="33" t="str">
        <x:v>OBJ-02</x:v>
      </x:c>
      <x:c r="D188" s="33" t="str">
        <x:v>Produzir infográfico 1 do PACK-03</x:v>
      </x:c>
      <x:c r="E188" s="33" t="str">
        <x:v>PNG/SVG; 1920×1080; processo, mapa ou framework. Revisão e arquivo final registrados.</x:v>
      </x:c>
      <x:c r="F188" s="33" t="str">
        <x:v>PACK-03</x:v>
      </x:c>
      <x:c r="G188" s="33" t="str">
        <x:v>INF</x:v>
      </x:c>
      <x:c r="H188" s="33" t="str">
        <x:v>Obrigatório</x:v>
      </x:c>
      <x:c r="I188" s="34" t="str">
        <x:v>A confirmar</x:v>
      </x:c>
      <x:c r="J188" s="34" t="str">
        <x:v>A definir</x:v>
      </x:c>
      <x:c r="K188" s="35"/>
      <x:c r="L188" s="35"/>
      <x:c r="M188" s="35"/>
      <x:c r="N188" s="33" t="str">
        <x:v>PACK-03-ART-01;PACK-03-VID-01</x:v>
      </x:c>
      <x:c r="O188" s="33" t="str"/>
      <x:c r="P188" s="33" t="str">
        <x:v>GTM-03;GTM-05</x:v>
      </x:c>
      <x:c r="Q188" s="33" t="str">
        <x:v>11.2;2.6</x:v>
      </x:c>
      <x:c r="R188" s="33" t="str">
        <x:v>Decomposição proposta</x:v>
      </x:c>
      <x:c r="S188" s="34"/>
      <x:c r="T188" s="33" t="str">
        <x:f>IF(I188="Concluída",IF(OR(S188="",M188=""),"Falta evidência/data","Confirmada"),"Não confirmada")</x:f>
        <x:v>Não confirmada</x:v>
      </x:c>
      <x:c r="U188" s="33" t="str">
        <x:f>IF(T188="Confirmada","Concluída",IF(I188="Cancelada","Cancelada",IF(L188="","Sem prazo",IF(L188&lt;TODAY(),"Prazo vencido","No prazo"))))</x:f>
        <x:v>Sem prazo</x:v>
      </x:c>
      <x:c r="V188" s="34"/>
    </x:row>
    <x:row r="189" ht="62" customHeight="1">
      <x:c r="A189" s="33" t="str">
        <x:v>PACK-03-INF-02</x:v>
      </x:c>
      <x:c r="B189" s="33" t="str">
        <x:v>AR-02</x:v>
      </x:c>
      <x:c r="C189" s="33" t="str">
        <x:v>OBJ-02</x:v>
      </x:c>
      <x:c r="D189" s="33" t="str">
        <x:v>Produzir infográfico 2 do PACK-03</x:v>
      </x:c>
      <x:c r="E189" s="33" t="str">
        <x:v>PNG/SVG; 1920×1080; processo, mapa ou framework. Revisão e arquivo final registrados.</x:v>
      </x:c>
      <x:c r="F189" s="33" t="str">
        <x:v>PACK-03</x:v>
      </x:c>
      <x:c r="G189" s="33" t="str">
        <x:v>INF</x:v>
      </x:c>
      <x:c r="H189" s="33" t="str">
        <x:v>Obrigatório</x:v>
      </x:c>
      <x:c r="I189" s="34" t="str">
        <x:v>A confirmar</x:v>
      </x:c>
      <x:c r="J189" s="34" t="str">
        <x:v>A definir</x:v>
      </x:c>
      <x:c r="K189" s="35"/>
      <x:c r="L189" s="35"/>
      <x:c r="M189" s="35"/>
      <x:c r="N189" s="33" t="str">
        <x:v>PACK-03-ART-01;PACK-03-VID-01</x:v>
      </x:c>
      <x:c r="O189" s="33" t="str"/>
      <x:c r="P189" s="33" t="str">
        <x:v>GTM-03;GTM-05</x:v>
      </x:c>
      <x:c r="Q189" s="33" t="str">
        <x:v>11.2;2.6</x:v>
      </x:c>
      <x:c r="R189" s="33" t="str">
        <x:v>Decomposição proposta</x:v>
      </x:c>
      <x:c r="S189" s="34"/>
      <x:c r="T189" s="33" t="str">
        <x:f>IF(I189="Concluída",IF(OR(S189="",M189=""),"Falta evidência/data","Confirmada"),"Não confirmada")</x:f>
        <x:v>Não confirmada</x:v>
      </x:c>
      <x:c r="U189" s="33" t="str">
        <x:f>IF(T189="Confirmada","Concluída",IF(I189="Cancelada","Cancelada",IF(L189="","Sem prazo",IF(L189&lt;TODAY(),"Prazo vencido","No prazo"))))</x:f>
        <x:v>Sem prazo</x:v>
      </x:c>
      <x:c r="V189" s="34"/>
    </x:row>
    <x:row r="190" ht="62" customHeight="1">
      <x:c r="A190" s="33" t="str">
        <x:v>PACK-03-INF-03</x:v>
      </x:c>
      <x:c r="B190" s="33" t="str">
        <x:v>AR-02</x:v>
      </x:c>
      <x:c r="C190" s="33" t="str">
        <x:v>OBJ-02</x:v>
      </x:c>
      <x:c r="D190" s="33" t="str">
        <x:v>Produzir infográfico 3 do PACK-03</x:v>
      </x:c>
      <x:c r="E190" s="33" t="str">
        <x:v>PNG/SVG; 1920×1080; processo, mapa ou framework. Revisão e arquivo final registrados.</x:v>
      </x:c>
      <x:c r="F190" s="33" t="str">
        <x:v>PACK-03</x:v>
      </x:c>
      <x:c r="G190" s="33" t="str">
        <x:v>INF</x:v>
      </x:c>
      <x:c r="H190" s="33" t="str">
        <x:v>Obrigatório</x:v>
      </x:c>
      <x:c r="I190" s="34" t="str">
        <x:v>A confirmar</x:v>
      </x:c>
      <x:c r="J190" s="34" t="str">
        <x:v>A definir</x:v>
      </x:c>
      <x:c r="K190" s="35"/>
      <x:c r="L190" s="35"/>
      <x:c r="M190" s="35"/>
      <x:c r="N190" s="33" t="str">
        <x:v>PACK-03-ART-01;PACK-03-VID-01</x:v>
      </x:c>
      <x:c r="O190" s="33" t="str"/>
      <x:c r="P190" s="33" t="str">
        <x:v>GTM-03;GTM-05</x:v>
      </x:c>
      <x:c r="Q190" s="33" t="str">
        <x:v>11.2;2.6</x:v>
      </x:c>
      <x:c r="R190" s="33" t="str">
        <x:v>Decomposição proposta</x:v>
      </x:c>
      <x:c r="S190" s="34"/>
      <x:c r="T190" s="33" t="str">
        <x:f>IF(I190="Concluída",IF(OR(S190="",M190=""),"Falta evidência/data","Confirmada"),"Não confirmada")</x:f>
        <x:v>Não confirmada</x:v>
      </x:c>
      <x:c r="U190" s="33" t="str">
        <x:f>IF(T190="Confirmada","Concluída",IF(I190="Cancelada","Cancelada",IF(L190="","Sem prazo",IF(L190&lt;TODAY(),"Prazo vencido","No prazo"))))</x:f>
        <x:v>Sem prazo</x:v>
      </x:c>
      <x:c r="V190" s="34"/>
    </x:row>
    <x:row r="191" ht="62" customHeight="1">
      <x:c r="A191" s="33" t="str">
        <x:v>PACK-03-STR-01</x:v>
      </x:c>
      <x:c r="B191" s="33" t="str">
        <x:v>AR-02</x:v>
      </x:c>
      <x:c r="C191" s="33" t="str">
        <x:v>OBJ-02</x:v>
      </x:c>
      <x:c r="D191" s="33" t="str">
        <x:v>Produzir story 1 do PACK-03</x:v>
      </x:c>
      <x:c r="E191" s="33" t="str">
        <x:v>Imagem/vídeo; 1080×1920; sequência modular. Revisão e arquivo final registrados.</x:v>
      </x:c>
      <x:c r="F191" s="33" t="str">
        <x:v>PACK-03</x:v>
      </x:c>
      <x:c r="G191" s="33" t="str">
        <x:v>STR</x:v>
      </x:c>
      <x:c r="H191" s="33" t="str">
        <x:v>Obrigatório</x:v>
      </x:c>
      <x:c r="I191" s="34" t="str">
        <x:v>A confirmar</x:v>
      </x:c>
      <x:c r="J191" s="34" t="str">
        <x:v>A definir</x:v>
      </x:c>
      <x:c r="K191" s="35"/>
      <x:c r="L191" s="35"/>
      <x:c r="M191" s="35"/>
      <x:c r="N191" s="33" t="str">
        <x:v>PACK-03-ART-01;PACK-03-VID-01</x:v>
      </x:c>
      <x:c r="O191" s="33" t="str"/>
      <x:c r="P191" s="33" t="str">
        <x:v>GTM-03;GTM-05</x:v>
      </x:c>
      <x:c r="Q191" s="33" t="str">
        <x:v>11.2;2.6</x:v>
      </x:c>
      <x:c r="R191" s="33" t="str">
        <x:v>Decomposição proposta</x:v>
      </x:c>
      <x:c r="S191" s="34"/>
      <x:c r="T191" s="33" t="str">
        <x:f>IF(I191="Concluída",IF(OR(S191="",M191=""),"Falta evidência/data","Confirmada"),"Não confirmada")</x:f>
        <x:v>Não confirmada</x:v>
      </x:c>
      <x:c r="U191" s="33" t="str">
        <x:f>IF(T191="Confirmada","Concluída",IF(I191="Cancelada","Cancelada",IF(L191="","Sem prazo",IF(L191&lt;TODAY(),"Prazo vencido","No prazo"))))</x:f>
        <x:v>Sem prazo</x:v>
      </x:c>
      <x:c r="V191" s="34"/>
    </x:row>
    <x:row r="192" ht="62" customHeight="1">
      <x:c r="A192" s="33" t="str">
        <x:v>PACK-03-STR-02</x:v>
      </x:c>
      <x:c r="B192" s="33" t="str">
        <x:v>AR-02</x:v>
      </x:c>
      <x:c r="C192" s="33" t="str">
        <x:v>OBJ-02</x:v>
      </x:c>
      <x:c r="D192" s="33" t="str">
        <x:v>Produzir story 2 do PACK-03</x:v>
      </x:c>
      <x:c r="E192" s="33" t="str">
        <x:v>Imagem/vídeo; 1080×1920; sequência modular. Revisão e arquivo final registrados.</x:v>
      </x:c>
      <x:c r="F192" s="33" t="str">
        <x:v>PACK-03</x:v>
      </x:c>
      <x:c r="G192" s="33" t="str">
        <x:v>STR</x:v>
      </x:c>
      <x:c r="H192" s="33" t="str">
        <x:v>Obrigatório</x:v>
      </x:c>
      <x:c r="I192" s="34" t="str">
        <x:v>A confirmar</x:v>
      </x:c>
      <x:c r="J192" s="34" t="str">
        <x:v>A definir</x:v>
      </x:c>
      <x:c r="K192" s="35"/>
      <x:c r="L192" s="35"/>
      <x:c r="M192" s="35"/>
      <x:c r="N192" s="33" t="str">
        <x:v>PACK-03-ART-01;PACK-03-VID-01</x:v>
      </x:c>
      <x:c r="O192" s="33" t="str"/>
      <x:c r="P192" s="33" t="str">
        <x:v>GTM-03;GTM-05</x:v>
      </x:c>
      <x:c r="Q192" s="33" t="str">
        <x:v>11.2;2.6</x:v>
      </x:c>
      <x:c r="R192" s="33" t="str">
        <x:v>Decomposição proposta</x:v>
      </x:c>
      <x:c r="S192" s="34"/>
      <x:c r="T192" s="33" t="str">
        <x:f>IF(I192="Concluída",IF(OR(S192="",M192=""),"Falta evidência/data","Confirmada"),"Não confirmada")</x:f>
        <x:v>Não confirmada</x:v>
      </x:c>
      <x:c r="U192" s="33" t="str">
        <x:f>IF(T192="Confirmada","Concluída",IF(I192="Cancelada","Cancelada",IF(L192="","Sem prazo",IF(L192&lt;TODAY(),"Prazo vencido","No prazo"))))</x:f>
        <x:v>Sem prazo</x:v>
      </x:c>
      <x:c r="V192" s="34"/>
    </x:row>
    <x:row r="193" ht="62" customHeight="1">
      <x:c r="A193" s="33" t="str">
        <x:v>PACK-03-STR-03</x:v>
      </x:c>
      <x:c r="B193" s="33" t="str">
        <x:v>AR-02</x:v>
      </x:c>
      <x:c r="C193" s="33" t="str">
        <x:v>OBJ-02</x:v>
      </x:c>
      <x:c r="D193" s="33" t="str">
        <x:v>Produzir story 3 do PACK-03</x:v>
      </x:c>
      <x:c r="E193" s="33" t="str">
        <x:v>Imagem/vídeo; 1080×1920; sequência modular. Revisão e arquivo final registrados.</x:v>
      </x:c>
      <x:c r="F193" s="33" t="str">
        <x:v>PACK-03</x:v>
      </x:c>
      <x:c r="G193" s="33" t="str">
        <x:v>STR</x:v>
      </x:c>
      <x:c r="H193" s="33" t="str">
        <x:v>Obrigatório</x:v>
      </x:c>
      <x:c r="I193" s="34" t="str">
        <x:v>A confirmar</x:v>
      </x:c>
      <x:c r="J193" s="34" t="str">
        <x:v>A definir</x:v>
      </x:c>
      <x:c r="K193" s="35"/>
      <x:c r="L193" s="35"/>
      <x:c r="M193" s="35"/>
      <x:c r="N193" s="33" t="str">
        <x:v>PACK-03-ART-01;PACK-03-VID-01</x:v>
      </x:c>
      <x:c r="O193" s="33" t="str"/>
      <x:c r="P193" s="33" t="str">
        <x:v>GTM-03;GTM-05</x:v>
      </x:c>
      <x:c r="Q193" s="33" t="str">
        <x:v>11.2;2.6</x:v>
      </x:c>
      <x:c r="R193" s="33" t="str">
        <x:v>Decomposição proposta</x:v>
      </x:c>
      <x:c r="S193" s="34"/>
      <x:c r="T193" s="33" t="str">
        <x:f>IF(I193="Concluída",IF(OR(S193="",M193=""),"Falta evidência/data","Confirmada"),"Não confirmada")</x:f>
        <x:v>Não confirmada</x:v>
      </x:c>
      <x:c r="U193" s="33" t="str">
        <x:f>IF(T193="Confirmada","Concluída",IF(I193="Cancelada","Cancelada",IF(L193="","Sem prazo",IF(L193&lt;TODAY(),"Prazo vencido","No prazo"))))</x:f>
        <x:v>Sem prazo</x:v>
      </x:c>
      <x:c r="V193" s="34"/>
    </x:row>
    <x:row r="194" ht="62" customHeight="1">
      <x:c r="A194" s="33" t="str">
        <x:v>PACK-03-STR-04</x:v>
      </x:c>
      <x:c r="B194" s="33" t="str">
        <x:v>AR-02</x:v>
      </x:c>
      <x:c r="C194" s="33" t="str">
        <x:v>OBJ-02</x:v>
      </x:c>
      <x:c r="D194" s="33" t="str">
        <x:v>Produzir story 4 do PACK-03</x:v>
      </x:c>
      <x:c r="E194" s="33" t="str">
        <x:v>Imagem/vídeo; 1080×1920; sequência modular. Revisão e arquivo final registrados.</x:v>
      </x:c>
      <x:c r="F194" s="33" t="str">
        <x:v>PACK-03</x:v>
      </x:c>
      <x:c r="G194" s="33" t="str">
        <x:v>STR</x:v>
      </x:c>
      <x:c r="H194" s="33" t="str">
        <x:v>Obrigatório</x:v>
      </x:c>
      <x:c r="I194" s="34" t="str">
        <x:v>A confirmar</x:v>
      </x:c>
      <x:c r="J194" s="34" t="str">
        <x:v>A definir</x:v>
      </x:c>
      <x:c r="K194" s="35"/>
      <x:c r="L194" s="35"/>
      <x:c r="M194" s="35"/>
      <x:c r="N194" s="33" t="str">
        <x:v>PACK-03-ART-01;PACK-03-VID-01</x:v>
      </x:c>
      <x:c r="O194" s="33" t="str"/>
      <x:c r="P194" s="33" t="str">
        <x:v>GTM-03;GTM-05</x:v>
      </x:c>
      <x:c r="Q194" s="33" t="str">
        <x:v>11.2;2.6</x:v>
      </x:c>
      <x:c r="R194" s="33" t="str">
        <x:v>Decomposição proposta</x:v>
      </x:c>
      <x:c r="S194" s="34"/>
      <x:c r="T194" s="33" t="str">
        <x:f>IF(I194="Concluída",IF(OR(S194="",M194=""),"Falta evidência/data","Confirmada"),"Não confirmada")</x:f>
        <x:v>Não confirmada</x:v>
      </x:c>
      <x:c r="U194" s="33" t="str">
        <x:f>IF(T194="Confirmada","Concluída",IF(I194="Cancelada","Cancelada",IF(L194="","Sem prazo",IF(L194&lt;TODAY(),"Prazo vencido","No prazo"))))</x:f>
        <x:v>Sem prazo</x:v>
      </x:c>
      <x:c r="V194" s="34"/>
    </x:row>
    <x:row r="195" ht="62" customHeight="1">
      <x:c r="A195" s="33" t="str">
        <x:v>PACK-03-STR-05</x:v>
      </x:c>
      <x:c r="B195" s="33" t="str">
        <x:v>AR-02</x:v>
      </x:c>
      <x:c r="C195" s="33" t="str">
        <x:v>OBJ-02</x:v>
      </x:c>
      <x:c r="D195" s="33" t="str">
        <x:v>Produzir story 5 do PACK-03</x:v>
      </x:c>
      <x:c r="E195" s="33" t="str">
        <x:v>Imagem/vídeo; 1080×1920; sequência modular. Revisão e arquivo final registrados.</x:v>
      </x:c>
      <x:c r="F195" s="33" t="str">
        <x:v>PACK-03</x:v>
      </x:c>
      <x:c r="G195" s="33" t="str">
        <x:v>STR</x:v>
      </x:c>
      <x:c r="H195" s="33" t="str">
        <x:v>Obrigatório</x:v>
      </x:c>
      <x:c r="I195" s="34" t="str">
        <x:v>A confirmar</x:v>
      </x:c>
      <x:c r="J195" s="34" t="str">
        <x:v>A definir</x:v>
      </x:c>
      <x:c r="K195" s="35"/>
      <x:c r="L195" s="35"/>
      <x:c r="M195" s="35"/>
      <x:c r="N195" s="33" t="str">
        <x:v>PACK-03-ART-01;PACK-03-VID-01</x:v>
      </x:c>
      <x:c r="O195" s="33" t="str"/>
      <x:c r="P195" s="33" t="str">
        <x:v>GTM-03;GTM-05</x:v>
      </x:c>
      <x:c r="Q195" s="33" t="str">
        <x:v>11.2;2.6</x:v>
      </x:c>
      <x:c r="R195" s="33" t="str">
        <x:v>Decomposição proposta</x:v>
      </x:c>
      <x:c r="S195" s="34"/>
      <x:c r="T195" s="33" t="str">
        <x:f>IF(I195="Concluída",IF(OR(S195="",M195=""),"Falta evidência/data","Confirmada"),"Não confirmada")</x:f>
        <x:v>Não confirmada</x:v>
      </x:c>
      <x:c r="U195" s="33" t="str">
        <x:f>IF(T195="Confirmada","Concluída",IF(I195="Cancelada","Cancelada",IF(L195="","Sem prazo",IF(L195&lt;TODAY(),"Prazo vencido","No prazo"))))</x:f>
        <x:v>Sem prazo</x:v>
      </x:c>
      <x:c r="V195" s="34"/>
    </x:row>
    <x:row r="196" ht="62" customHeight="1">
      <x:c r="A196" s="33" t="str">
        <x:v>PACK-03-STR-06</x:v>
      </x:c>
      <x:c r="B196" s="33" t="str">
        <x:v>AR-02</x:v>
      </x:c>
      <x:c r="C196" s="33" t="str">
        <x:v>OBJ-02</x:v>
      </x:c>
      <x:c r="D196" s="33" t="str">
        <x:v>Produzir story 6 do PACK-03</x:v>
      </x:c>
      <x:c r="E196" s="33" t="str">
        <x:v>Imagem/vídeo; 1080×1920; sequência modular. Revisão e arquivo final registrados.</x:v>
      </x:c>
      <x:c r="F196" s="33" t="str">
        <x:v>PACK-03</x:v>
      </x:c>
      <x:c r="G196" s="33" t="str">
        <x:v>STR</x:v>
      </x:c>
      <x:c r="H196" s="33" t="str">
        <x:v>Obrigatório</x:v>
      </x:c>
      <x:c r="I196" s="34" t="str">
        <x:v>A confirmar</x:v>
      </x:c>
      <x:c r="J196" s="34" t="str">
        <x:v>A definir</x:v>
      </x:c>
      <x:c r="K196" s="35"/>
      <x:c r="L196" s="35"/>
      <x:c r="M196" s="35"/>
      <x:c r="N196" s="33" t="str">
        <x:v>PACK-03-ART-01;PACK-03-VID-01</x:v>
      </x:c>
      <x:c r="O196" s="33" t="str"/>
      <x:c r="P196" s="33" t="str">
        <x:v>GTM-03;GTM-05</x:v>
      </x:c>
      <x:c r="Q196" s="33" t="str">
        <x:v>11.2;2.6</x:v>
      </x:c>
      <x:c r="R196" s="33" t="str">
        <x:v>Decomposição proposta</x:v>
      </x:c>
      <x:c r="S196" s="34"/>
      <x:c r="T196" s="33" t="str">
        <x:f>IF(I196="Concluída",IF(OR(S196="",M196=""),"Falta evidência/data","Confirmada"),"Não confirmada")</x:f>
        <x:v>Não confirmada</x:v>
      </x:c>
      <x:c r="U196" s="33" t="str">
        <x:f>IF(T196="Confirmada","Concluída",IF(I196="Cancelada","Cancelada",IF(L196="","Sem prazo",IF(L196&lt;TODAY(),"Prazo vencido","No prazo"))))</x:f>
        <x:v>Sem prazo</x:v>
      </x:c>
      <x:c r="V196" s="34"/>
    </x:row>
    <x:row r="197" ht="62" customHeight="1">
      <x:c r="A197" s="33" t="str">
        <x:v>PACK-03-STR-07</x:v>
      </x:c>
      <x:c r="B197" s="33" t="str">
        <x:v>AR-02</x:v>
      </x:c>
      <x:c r="C197" s="33" t="str">
        <x:v>OBJ-02</x:v>
      </x:c>
      <x:c r="D197" s="33" t="str">
        <x:v>Produzir story 7 do PACK-03</x:v>
      </x:c>
      <x:c r="E197" s="33" t="str">
        <x:v>Imagem/vídeo; 1080×1920; sequência modular. Revisão e arquivo final registrados.</x:v>
      </x:c>
      <x:c r="F197" s="33" t="str">
        <x:v>PACK-03</x:v>
      </x:c>
      <x:c r="G197" s="33" t="str">
        <x:v>STR</x:v>
      </x:c>
      <x:c r="H197" s="33" t="str">
        <x:v>Obrigatório</x:v>
      </x:c>
      <x:c r="I197" s="34" t="str">
        <x:v>A confirmar</x:v>
      </x:c>
      <x:c r="J197" s="34" t="str">
        <x:v>A definir</x:v>
      </x:c>
      <x:c r="K197" s="35"/>
      <x:c r="L197" s="35"/>
      <x:c r="M197" s="35"/>
      <x:c r="N197" s="33" t="str">
        <x:v>PACK-03-ART-01;PACK-03-VID-01</x:v>
      </x:c>
      <x:c r="O197" s="33" t="str"/>
      <x:c r="P197" s="33" t="str">
        <x:v>GTM-03;GTM-05</x:v>
      </x:c>
      <x:c r="Q197" s="33" t="str">
        <x:v>11.2;2.6</x:v>
      </x:c>
      <x:c r="R197" s="33" t="str">
        <x:v>Decomposição proposta</x:v>
      </x:c>
      <x:c r="S197" s="34"/>
      <x:c r="T197" s="33" t="str">
        <x:f>IF(I197="Concluída",IF(OR(S197="",M197=""),"Falta evidência/data","Confirmada"),"Não confirmada")</x:f>
        <x:v>Não confirmada</x:v>
      </x:c>
      <x:c r="U197" s="33" t="str">
        <x:f>IF(T197="Confirmada","Concluída",IF(I197="Cancelada","Cancelada",IF(L197="","Sem prazo",IF(L197&lt;TODAY(),"Prazo vencido","No prazo"))))</x:f>
        <x:v>Sem prazo</x:v>
      </x:c>
      <x:c r="V197" s="34"/>
    </x:row>
    <x:row r="198" ht="62" customHeight="1">
      <x:c r="A198" s="33" t="str">
        <x:v>PACK-03-STR-08</x:v>
      </x:c>
      <x:c r="B198" s="33" t="str">
        <x:v>AR-02</x:v>
      </x:c>
      <x:c r="C198" s="33" t="str">
        <x:v>OBJ-02</x:v>
      </x:c>
      <x:c r="D198" s="33" t="str">
        <x:v>Produzir story 8 do PACK-03</x:v>
      </x:c>
      <x:c r="E198" s="33" t="str">
        <x:v>Imagem/vídeo; 1080×1920; sequência modular. Revisão e arquivo final registrados.</x:v>
      </x:c>
      <x:c r="F198" s="33" t="str">
        <x:v>PACK-03</x:v>
      </x:c>
      <x:c r="G198" s="33" t="str">
        <x:v>STR</x:v>
      </x:c>
      <x:c r="H198" s="33" t="str">
        <x:v>Obrigatório</x:v>
      </x:c>
      <x:c r="I198" s="34" t="str">
        <x:v>A confirmar</x:v>
      </x:c>
      <x:c r="J198" s="34" t="str">
        <x:v>A definir</x:v>
      </x:c>
      <x:c r="K198" s="35"/>
      <x:c r="L198" s="35"/>
      <x:c r="M198" s="35"/>
      <x:c r="N198" s="33" t="str">
        <x:v>PACK-03-ART-01;PACK-03-VID-01</x:v>
      </x:c>
      <x:c r="O198" s="33" t="str"/>
      <x:c r="P198" s="33" t="str">
        <x:v>GTM-03;GTM-05</x:v>
      </x:c>
      <x:c r="Q198" s="33" t="str">
        <x:v>11.2;2.6</x:v>
      </x:c>
      <x:c r="R198" s="33" t="str">
        <x:v>Decomposição proposta</x:v>
      </x:c>
      <x:c r="S198" s="34"/>
      <x:c r="T198" s="33" t="str">
        <x:f>IF(I198="Concluída",IF(OR(S198="",M198=""),"Falta evidência/data","Confirmada"),"Não confirmada")</x:f>
        <x:v>Não confirmada</x:v>
      </x:c>
      <x:c r="U198" s="33" t="str">
        <x:f>IF(T198="Confirmada","Concluída",IF(I198="Cancelada","Cancelada",IF(L198="","Sem prazo",IF(L198&lt;TODAY(),"Prazo vencido","No prazo"))))</x:f>
        <x:v>Sem prazo</x:v>
      </x:c>
      <x:c r="V198" s="34"/>
    </x:row>
    <x:row r="199" ht="62" customHeight="1">
      <x:c r="A199" s="33" t="str">
        <x:v>PACK-03-STR-09</x:v>
      </x:c>
      <x:c r="B199" s="33" t="str">
        <x:v>AR-02</x:v>
      </x:c>
      <x:c r="C199" s="33" t="str">
        <x:v>OBJ-02</x:v>
      </x:c>
      <x:c r="D199" s="33" t="str">
        <x:v>Produzir story 9 do PACK-03</x:v>
      </x:c>
      <x:c r="E199" s="33" t="str">
        <x:v>Imagem/vídeo; 1080×1920; sequência modular. Revisão e arquivo final registrados.</x:v>
      </x:c>
      <x:c r="F199" s="33" t="str">
        <x:v>PACK-03</x:v>
      </x:c>
      <x:c r="G199" s="33" t="str">
        <x:v>STR</x:v>
      </x:c>
      <x:c r="H199" s="33" t="str">
        <x:v>Obrigatório</x:v>
      </x:c>
      <x:c r="I199" s="34" t="str">
        <x:v>A confirmar</x:v>
      </x:c>
      <x:c r="J199" s="34" t="str">
        <x:v>A definir</x:v>
      </x:c>
      <x:c r="K199" s="35"/>
      <x:c r="L199" s="35"/>
      <x:c r="M199" s="35"/>
      <x:c r="N199" s="33" t="str">
        <x:v>PACK-03-ART-01;PACK-03-VID-01</x:v>
      </x:c>
      <x:c r="O199" s="33" t="str"/>
      <x:c r="P199" s="33" t="str">
        <x:v>GTM-03;GTM-05</x:v>
      </x:c>
      <x:c r="Q199" s="33" t="str">
        <x:v>11.2;2.6</x:v>
      </x:c>
      <x:c r="R199" s="33" t="str">
        <x:v>Decomposição proposta</x:v>
      </x:c>
      <x:c r="S199" s="34"/>
      <x:c r="T199" s="33" t="str">
        <x:f>IF(I199="Concluída",IF(OR(S199="",M199=""),"Falta evidência/data","Confirmada"),"Não confirmada")</x:f>
        <x:v>Não confirmada</x:v>
      </x:c>
      <x:c r="U199" s="33" t="str">
        <x:f>IF(T199="Confirmada","Concluída",IF(I199="Cancelada","Cancelada",IF(L199="","Sem prazo",IF(L199&lt;TODAY(),"Prazo vencido","No prazo"))))</x:f>
        <x:v>Sem prazo</x:v>
      </x:c>
      <x:c r="V199" s="34"/>
    </x:row>
    <x:row r="200" ht="62" customHeight="1">
      <x:c r="A200" s="33" t="str">
        <x:v>PACK-03-STR-10</x:v>
      </x:c>
      <x:c r="B200" s="33" t="str">
        <x:v>AR-02</x:v>
      </x:c>
      <x:c r="C200" s="33" t="str">
        <x:v>OBJ-02</x:v>
      </x:c>
      <x:c r="D200" s="33" t="str">
        <x:v>Produzir story 10 do PACK-03</x:v>
      </x:c>
      <x:c r="E200" s="33" t="str">
        <x:v>Imagem/vídeo; 1080×1920; sequência modular. Revisão e arquivo final registrados.</x:v>
      </x:c>
      <x:c r="F200" s="33" t="str">
        <x:v>PACK-03</x:v>
      </x:c>
      <x:c r="G200" s="33" t="str">
        <x:v>STR</x:v>
      </x:c>
      <x:c r="H200" s="33" t="str">
        <x:v>Obrigatório</x:v>
      </x:c>
      <x:c r="I200" s="34" t="str">
        <x:v>A confirmar</x:v>
      </x:c>
      <x:c r="J200" s="34" t="str">
        <x:v>A definir</x:v>
      </x:c>
      <x:c r="K200" s="35"/>
      <x:c r="L200" s="35"/>
      <x:c r="M200" s="35"/>
      <x:c r="N200" s="33" t="str">
        <x:v>PACK-03-ART-01;PACK-03-VID-01</x:v>
      </x:c>
      <x:c r="O200" s="33" t="str"/>
      <x:c r="P200" s="33" t="str">
        <x:v>GTM-03;GTM-05</x:v>
      </x:c>
      <x:c r="Q200" s="33" t="str">
        <x:v>11.2;2.6</x:v>
      </x:c>
      <x:c r="R200" s="33" t="str">
        <x:v>Decomposição proposta</x:v>
      </x:c>
      <x:c r="S200" s="34"/>
      <x:c r="T200" s="33" t="str">
        <x:f>IF(I200="Concluída",IF(OR(S200="",M200=""),"Falta evidência/data","Confirmada"),"Não confirmada")</x:f>
        <x:v>Não confirmada</x:v>
      </x:c>
      <x:c r="U200" s="33" t="str">
        <x:f>IF(T200="Confirmada","Concluída",IF(I200="Cancelada","Cancelada",IF(L200="","Sem prazo",IF(L200&lt;TODAY(),"Prazo vencido","No prazo"))))</x:f>
        <x:v>Sem prazo</x:v>
      </x:c>
      <x:c r="V200" s="34"/>
    </x:row>
    <x:row r="201" ht="62" customHeight="1">
      <x:c r="A201" s="33" t="str">
        <x:v>PACK-03-STR-11</x:v>
      </x:c>
      <x:c r="B201" s="33" t="str">
        <x:v>AR-02</x:v>
      </x:c>
      <x:c r="C201" s="33" t="str">
        <x:v>OBJ-02</x:v>
      </x:c>
      <x:c r="D201" s="33" t="str">
        <x:v>Produzir story 11 do PACK-03</x:v>
      </x:c>
      <x:c r="E201" s="33" t="str">
        <x:v>Imagem/vídeo; 1080×1920; sequência modular. Revisão e arquivo final registrados.</x:v>
      </x:c>
      <x:c r="F201" s="33" t="str">
        <x:v>PACK-03</x:v>
      </x:c>
      <x:c r="G201" s="33" t="str">
        <x:v>STR</x:v>
      </x:c>
      <x:c r="H201" s="33" t="str">
        <x:v>Opcional</x:v>
      </x:c>
      <x:c r="I201" s="34" t="str">
        <x:v>A confirmar</x:v>
      </x:c>
      <x:c r="J201" s="34" t="str">
        <x:v>A definir</x:v>
      </x:c>
      <x:c r="K201" s="35"/>
      <x:c r="L201" s="35"/>
      <x:c r="M201" s="35"/>
      <x:c r="N201" s="33" t="str">
        <x:v>PACK-03-ART-01;PACK-03-VID-01</x:v>
      </x:c>
      <x:c r="O201" s="33" t="str"/>
      <x:c r="P201" s="33" t="str">
        <x:v>GTM-03;GTM-05</x:v>
      </x:c>
      <x:c r="Q201" s="33" t="str">
        <x:v>11.2;2.6</x:v>
      </x:c>
      <x:c r="R201" s="33" t="str">
        <x:v>Decomposição proposta</x:v>
      </x:c>
      <x:c r="S201" s="34"/>
      <x:c r="T201" s="33" t="str">
        <x:f>IF(I201="Concluída",IF(OR(S201="",M201=""),"Falta evidência/data","Confirmada"),"Não confirmada")</x:f>
        <x:v>Não confirmada</x:v>
      </x:c>
      <x:c r="U201" s="33" t="str">
        <x:f>IF(T201="Confirmada","Concluída",IF(I201="Cancelada","Cancelada",IF(L201="","Sem prazo",IF(L201&lt;TODAY(),"Prazo vencido","No prazo"))))</x:f>
        <x:v>Sem prazo</x:v>
      </x:c>
      <x:c r="V201" s="34"/>
    </x:row>
    <x:row r="202" ht="62" customHeight="1">
      <x:c r="A202" s="33" t="str">
        <x:v>PACK-03-STR-12</x:v>
      </x:c>
      <x:c r="B202" s="33" t="str">
        <x:v>AR-02</x:v>
      </x:c>
      <x:c r="C202" s="33" t="str">
        <x:v>OBJ-02</x:v>
      </x:c>
      <x:c r="D202" s="33" t="str">
        <x:v>Produzir story 12 do PACK-03</x:v>
      </x:c>
      <x:c r="E202" s="33" t="str">
        <x:v>Imagem/vídeo; 1080×1920; sequência modular. Revisão e arquivo final registrados.</x:v>
      </x:c>
      <x:c r="F202" s="33" t="str">
        <x:v>PACK-03</x:v>
      </x:c>
      <x:c r="G202" s="33" t="str">
        <x:v>STR</x:v>
      </x:c>
      <x:c r="H202" s="33" t="str">
        <x:v>Opcional</x:v>
      </x:c>
      <x:c r="I202" s="34" t="str">
        <x:v>A confirmar</x:v>
      </x:c>
      <x:c r="J202" s="34" t="str">
        <x:v>A definir</x:v>
      </x:c>
      <x:c r="K202" s="35"/>
      <x:c r="L202" s="35"/>
      <x:c r="M202" s="35"/>
      <x:c r="N202" s="33" t="str">
        <x:v>PACK-03-ART-01;PACK-03-VID-01</x:v>
      </x:c>
      <x:c r="O202" s="33" t="str"/>
      <x:c r="P202" s="33" t="str">
        <x:v>GTM-03;GTM-05</x:v>
      </x:c>
      <x:c r="Q202" s="33" t="str">
        <x:v>11.2;2.6</x:v>
      </x:c>
      <x:c r="R202" s="33" t="str">
        <x:v>Decomposição proposta</x:v>
      </x:c>
      <x:c r="S202" s="34"/>
      <x:c r="T202" s="33" t="str">
        <x:f>IF(I202="Concluída",IF(OR(S202="",M202=""),"Falta evidência/data","Confirmada"),"Não confirmada")</x:f>
        <x:v>Não confirmada</x:v>
      </x:c>
      <x:c r="U202" s="33" t="str">
        <x:f>IF(T202="Confirmada","Concluída",IF(I202="Cancelada","Cancelada",IF(L202="","Sem prazo",IF(L202&lt;TODAY(),"Prazo vencido","No prazo"))))</x:f>
        <x:v>Sem prazo</x:v>
      </x:c>
      <x:c r="V202" s="34"/>
    </x:row>
    <x:row r="203" ht="62" customHeight="1">
      <x:c r="A203" s="33" t="str">
        <x:v>PACK-03-NWL-01</x:v>
      </x:c>
      <x:c r="B203" s="33" t="str">
        <x:v>AR-02</x:v>
      </x:c>
      <x:c r="C203" s="33" t="str">
        <x:v>OBJ-02</x:v>
      </x:c>
      <x:c r="D203" s="33" t="str">
        <x:v>Produzir newsletter 1 do PACK-03</x:v>
      </x:c>
      <x:c r="E203" s="33" t="str">
        <x:v>HTML responsivo; aprendizado, aplicação e CTA. Revisão e arquivo final registrados.</x:v>
      </x:c>
      <x:c r="F203" s="33" t="str">
        <x:v>PACK-03</x:v>
      </x:c>
      <x:c r="G203" s="33" t="str">
        <x:v>NWL</x:v>
      </x:c>
      <x:c r="H203" s="33" t="str">
        <x:v>Obrigatório</x:v>
      </x:c>
      <x:c r="I203" s="34" t="str">
        <x:v>A confirmar</x:v>
      </x:c>
      <x:c r="J203" s="34" t="str">
        <x:v>A definir</x:v>
      </x:c>
      <x:c r="K203" s="35"/>
      <x:c r="L203" s="35"/>
      <x:c r="M203" s="35"/>
      <x:c r="N203" s="33" t="str">
        <x:v>PACK-03-ART-01;PACK-03-VID-01</x:v>
      </x:c>
      <x:c r="O203" s="33" t="str"/>
      <x:c r="P203" s="33" t="str">
        <x:v>GTM-03;GTM-05</x:v>
      </x:c>
      <x:c r="Q203" s="33" t="str">
        <x:v>11.2;2.6</x:v>
      </x:c>
      <x:c r="R203" s="33" t="str">
        <x:v>Decomposição proposta</x:v>
      </x:c>
      <x:c r="S203" s="34"/>
      <x:c r="T203" s="33" t="str">
        <x:f>IF(I203="Concluída",IF(OR(S203="",M203=""),"Falta evidência/data","Confirmada"),"Não confirmada")</x:f>
        <x:v>Não confirmada</x:v>
      </x:c>
      <x:c r="U203" s="33" t="str">
        <x:f>IF(T203="Confirmada","Concluída",IF(I203="Cancelada","Cancelada",IF(L203="","Sem prazo",IF(L203&lt;TODAY(),"Prazo vencido","No prazo"))))</x:f>
        <x:v>Sem prazo</x:v>
      </x:c>
      <x:c r="V203" s="34"/>
    </x:row>
    <x:row r="204" ht="62" customHeight="1">
      <x:c r="A204" s="33" t="str">
        <x:v>PACK-03-NWL-02</x:v>
      </x:c>
      <x:c r="B204" s="33" t="str">
        <x:v>AR-02</x:v>
      </x:c>
      <x:c r="C204" s="33" t="str">
        <x:v>OBJ-02</x:v>
      </x:c>
      <x:c r="D204" s="33" t="str">
        <x:v>Produzir newsletter 2 do PACK-03</x:v>
      </x:c>
      <x:c r="E204" s="33" t="str">
        <x:v>HTML responsivo; aprendizado, aplicação e CTA. Revisão e arquivo final registrados.</x:v>
      </x:c>
      <x:c r="F204" s="33" t="str">
        <x:v>PACK-03</x:v>
      </x:c>
      <x:c r="G204" s="33" t="str">
        <x:v>NWL</x:v>
      </x:c>
      <x:c r="H204" s="33" t="str">
        <x:v>Obrigatório</x:v>
      </x:c>
      <x:c r="I204" s="34" t="str">
        <x:v>A confirmar</x:v>
      </x:c>
      <x:c r="J204" s="34" t="str">
        <x:v>A definir</x:v>
      </x:c>
      <x:c r="K204" s="35"/>
      <x:c r="L204" s="35"/>
      <x:c r="M204" s="35"/>
      <x:c r="N204" s="33" t="str">
        <x:v>PACK-03-ART-01;PACK-03-VID-01</x:v>
      </x:c>
      <x:c r="O204" s="33" t="str"/>
      <x:c r="P204" s="33" t="str">
        <x:v>GTM-03;GTM-05</x:v>
      </x:c>
      <x:c r="Q204" s="33" t="str">
        <x:v>11.2;2.6</x:v>
      </x:c>
      <x:c r="R204" s="33" t="str">
        <x:v>Decomposição proposta</x:v>
      </x:c>
      <x:c r="S204" s="34"/>
      <x:c r="T204" s="33" t="str">
        <x:f>IF(I204="Concluída",IF(OR(S204="",M204=""),"Falta evidência/data","Confirmada"),"Não confirmada")</x:f>
        <x:v>Não confirmada</x:v>
      </x:c>
      <x:c r="U204" s="33" t="str">
        <x:f>IF(T204="Confirmada","Concluída",IF(I204="Cancelada","Cancelada",IF(L204="","Sem prazo",IF(L204&lt;TODAY(),"Prazo vencido","No prazo"))))</x:f>
        <x:v>Sem prazo</x:v>
      </x:c>
      <x:c r="V204" s="34"/>
    </x:row>
    <x:row r="205" ht="62" customHeight="1">
      <x:c r="A205" s="33" t="str">
        <x:v>PACK-03-NWL-03</x:v>
      </x:c>
      <x:c r="B205" s="33" t="str">
        <x:v>AR-02</x:v>
      </x:c>
      <x:c r="C205" s="33" t="str">
        <x:v>OBJ-02</x:v>
      </x:c>
      <x:c r="D205" s="33" t="str">
        <x:v>Produzir newsletter 3 do PACK-03</x:v>
      </x:c>
      <x:c r="E205" s="33" t="str">
        <x:v>HTML responsivo; aprendizado, aplicação e CTA. Revisão e arquivo final registrados.</x:v>
      </x:c>
      <x:c r="F205" s="33" t="str">
        <x:v>PACK-03</x:v>
      </x:c>
      <x:c r="G205" s="33" t="str">
        <x:v>NWL</x:v>
      </x:c>
      <x:c r="H205" s="33" t="str">
        <x:v>Obrigatório</x:v>
      </x:c>
      <x:c r="I205" s="34" t="str">
        <x:v>A confirmar</x:v>
      </x:c>
      <x:c r="J205" s="34" t="str">
        <x:v>A definir</x:v>
      </x:c>
      <x:c r="K205" s="35"/>
      <x:c r="L205" s="35"/>
      <x:c r="M205" s="35"/>
      <x:c r="N205" s="33" t="str">
        <x:v>PACK-03-ART-01;PACK-03-VID-01</x:v>
      </x:c>
      <x:c r="O205" s="33" t="str"/>
      <x:c r="P205" s="33" t="str">
        <x:v>GTM-03;GTM-05</x:v>
      </x:c>
      <x:c r="Q205" s="33" t="str">
        <x:v>11.2;2.6</x:v>
      </x:c>
      <x:c r="R205" s="33" t="str">
        <x:v>Decomposição proposta</x:v>
      </x:c>
      <x:c r="S205" s="34"/>
      <x:c r="T205" s="33" t="str">
        <x:f>IF(I205="Concluída",IF(OR(S205="",M205=""),"Falta evidência/data","Confirmada"),"Não confirmada")</x:f>
        <x:v>Não confirmada</x:v>
      </x:c>
      <x:c r="U205" s="33" t="str">
        <x:f>IF(T205="Confirmada","Concluída",IF(I205="Cancelada","Cancelada",IF(L205="","Sem prazo",IF(L205&lt;TODAY(),"Prazo vencido","No prazo"))))</x:f>
        <x:v>Sem prazo</x:v>
      </x:c>
      <x:c r="V205" s="34"/>
    </x:row>
    <x:row r="206" ht="62" customHeight="1">
      <x:c r="A206" s="33" t="str">
        <x:v>PACK-03-EBK-01</x:v>
      </x:c>
      <x:c r="B206" s="33" t="str">
        <x:v>AR-02</x:v>
      </x:c>
      <x:c r="C206" s="33" t="str">
        <x:v>OBJ-02</x:v>
      </x:c>
      <x:c r="D206" s="33" t="str">
        <x:v>Produzir ebook 1 do PACK-03</x:v>
      </x:c>
      <x:c r="E206" s="33" t="str">
        <x:v>PDF A4; framework, exercício/template e CTA. Revisão e arquivo final registrados.</x:v>
      </x:c>
      <x:c r="F206" s="33" t="str">
        <x:v>PACK-03</x:v>
      </x:c>
      <x:c r="G206" s="33" t="str">
        <x:v>EBK</x:v>
      </x:c>
      <x:c r="H206" s="33" t="str">
        <x:v>Obrigatório</x:v>
      </x:c>
      <x:c r="I206" s="34" t="str">
        <x:v>A confirmar</x:v>
      </x:c>
      <x:c r="J206" s="34" t="str">
        <x:v>A definir</x:v>
      </x:c>
      <x:c r="K206" s="35"/>
      <x:c r="L206" s="35"/>
      <x:c r="M206" s="35"/>
      <x:c r="N206" s="33" t="str">
        <x:v>PACK-03-ART-01;PACK-03-VID-01</x:v>
      </x:c>
      <x:c r="O206" s="33" t="str"/>
      <x:c r="P206" s="33" t="str">
        <x:v>GTM-03;GTM-05</x:v>
      </x:c>
      <x:c r="Q206" s="33" t="str">
        <x:v>11.2;2.6</x:v>
      </x:c>
      <x:c r="R206" s="33" t="str">
        <x:v>Decomposição proposta</x:v>
      </x:c>
      <x:c r="S206" s="34"/>
      <x:c r="T206" s="33" t="str">
        <x:f>IF(I206="Concluída",IF(OR(S206="",M206=""),"Falta evidência/data","Confirmada"),"Não confirmada")</x:f>
        <x:v>Não confirmada</x:v>
      </x:c>
      <x:c r="U206" s="33" t="str">
        <x:f>IF(T206="Confirmada","Concluída",IF(I206="Cancelada","Cancelada",IF(L206="","Sem prazo",IF(L206&lt;TODAY(),"Prazo vencido","No prazo"))))</x:f>
        <x:v>Sem prazo</x:v>
      </x:c>
      <x:c r="V206" s="34"/>
    </x:row>
    <x:row r="207" ht="62" customHeight="1">
      <x:c r="A207" s="33" t="str">
        <x:v>PACK-03-EBK-02</x:v>
      </x:c>
      <x:c r="B207" s="33" t="str">
        <x:v>AR-02</x:v>
      </x:c>
      <x:c r="C207" s="33" t="str">
        <x:v>OBJ-02</x:v>
      </x:c>
      <x:c r="D207" s="33" t="str">
        <x:v>Produzir ebook 2 do PACK-03</x:v>
      </x:c>
      <x:c r="E207" s="33" t="str">
        <x:v>PDF A4; framework, exercício/template e CTA. Revisão e arquivo final registrados.</x:v>
      </x:c>
      <x:c r="F207" s="33" t="str">
        <x:v>PACK-03</x:v>
      </x:c>
      <x:c r="G207" s="33" t="str">
        <x:v>EBK</x:v>
      </x:c>
      <x:c r="H207" s="33" t="str">
        <x:v>Obrigatório</x:v>
      </x:c>
      <x:c r="I207" s="34" t="str">
        <x:v>A confirmar</x:v>
      </x:c>
      <x:c r="J207" s="34" t="str">
        <x:v>A definir</x:v>
      </x:c>
      <x:c r="K207" s="35"/>
      <x:c r="L207" s="35"/>
      <x:c r="M207" s="35"/>
      <x:c r="N207" s="33" t="str">
        <x:v>PACK-03-ART-01;PACK-03-VID-01</x:v>
      </x:c>
      <x:c r="O207" s="33" t="str"/>
      <x:c r="P207" s="33" t="str">
        <x:v>GTM-03;GTM-05</x:v>
      </x:c>
      <x:c r="Q207" s="33" t="str">
        <x:v>11.2;2.6</x:v>
      </x:c>
      <x:c r="R207" s="33" t="str">
        <x:v>Decomposição proposta</x:v>
      </x:c>
      <x:c r="S207" s="34"/>
      <x:c r="T207" s="33" t="str">
        <x:f>IF(I207="Concluída",IF(OR(S207="",M207=""),"Falta evidência/data","Confirmada"),"Não confirmada")</x:f>
        <x:v>Não confirmada</x:v>
      </x:c>
      <x:c r="U207" s="33" t="str">
        <x:f>IF(T207="Confirmada","Concluída",IF(I207="Cancelada","Cancelada",IF(L207="","Sem prazo",IF(L207&lt;TODAY(),"Prazo vencido","No prazo"))))</x:f>
        <x:v>Sem prazo</x:v>
      </x:c>
      <x:c r="V207" s="34"/>
    </x:row>
    <x:row r="208" ht="62" customHeight="1">
      <x:c r="A208" s="33" t="str">
        <x:v>PACK-03-EBK-03</x:v>
      </x:c>
      <x:c r="B208" s="33" t="str">
        <x:v>AR-02</x:v>
      </x:c>
      <x:c r="C208" s="33" t="str">
        <x:v>OBJ-02</x:v>
      </x:c>
      <x:c r="D208" s="33" t="str">
        <x:v>Produzir ebook 3 do PACK-03</x:v>
      </x:c>
      <x:c r="E208" s="33" t="str">
        <x:v>PDF A4; framework, exercício/template e CTA. Revisão e arquivo final registrados.</x:v>
      </x:c>
      <x:c r="F208" s="33" t="str">
        <x:v>PACK-03</x:v>
      </x:c>
      <x:c r="G208" s="33" t="str">
        <x:v>EBK</x:v>
      </x:c>
      <x:c r="H208" s="33" t="str">
        <x:v>Obrigatório</x:v>
      </x:c>
      <x:c r="I208" s="34" t="str">
        <x:v>A confirmar</x:v>
      </x:c>
      <x:c r="J208" s="34" t="str">
        <x:v>A definir</x:v>
      </x:c>
      <x:c r="K208" s="35"/>
      <x:c r="L208" s="35"/>
      <x:c r="M208" s="35"/>
      <x:c r="N208" s="33" t="str">
        <x:v>PACK-03-ART-01;PACK-03-VID-01</x:v>
      </x:c>
      <x:c r="O208" s="33" t="str"/>
      <x:c r="P208" s="33" t="str">
        <x:v>GTM-03;GTM-05</x:v>
      </x:c>
      <x:c r="Q208" s="33" t="str">
        <x:v>11.2;2.6</x:v>
      </x:c>
      <x:c r="R208" s="33" t="str">
        <x:v>Decomposição proposta</x:v>
      </x:c>
      <x:c r="S208" s="34"/>
      <x:c r="T208" s="33" t="str">
        <x:f>IF(I208="Concluída",IF(OR(S208="",M208=""),"Falta evidência/data","Confirmada"),"Não confirmada")</x:f>
        <x:v>Não confirmada</x:v>
      </x:c>
      <x:c r="U208" s="33" t="str">
        <x:f>IF(T208="Confirmada","Concluída",IF(I208="Cancelada","Cancelada",IF(L208="","Sem prazo",IF(L208&lt;TODAY(),"Prazo vencido","No prazo"))))</x:f>
        <x:v>Sem prazo</x:v>
      </x:c>
      <x:c r="V208" s="34"/>
    </x:row>
    <x:row r="209" ht="62" customHeight="1">
      <x:c r="A209" s="33" t="str">
        <x:v>PACK-03-CTA-01</x:v>
      </x:c>
      <x:c r="B209" s="33" t="str">
        <x:v>AR-02</x:v>
      </x:c>
      <x:c r="C209" s="33" t="str">
        <x:v>OBJ-02</x:v>
      </x:c>
      <x:c r="D209" s="33" t="str">
        <x:v>Produzir cta de ferramenta 1 do PACK-03</x:v>
      </x:c>
      <x:c r="E209" s="33" t="str">
        <x:v>Uma ação principal; benefício, destino e evento mensurável. Revisão e arquivo final registrados.</x:v>
      </x:c>
      <x:c r="F209" s="33" t="str">
        <x:v>PACK-03</x:v>
      </x:c>
      <x:c r="G209" s="33" t="str">
        <x:v>CTA</x:v>
      </x:c>
      <x:c r="H209" s="33" t="str">
        <x:v>Obrigatório</x:v>
      </x:c>
      <x:c r="I209" s="34" t="str">
        <x:v>A confirmar</x:v>
      </x:c>
      <x:c r="J209" s="34" t="str">
        <x:v>A definir</x:v>
      </x:c>
      <x:c r="K209" s="35"/>
      <x:c r="L209" s="35"/>
      <x:c r="M209" s="35"/>
      <x:c r="N209" s="33" t="str">
        <x:v>PACK-03-ART-01;PACK-03-VID-01;DST-05</x:v>
      </x:c>
      <x:c r="O209" s="33" t="str"/>
      <x:c r="P209" s="33" t="str">
        <x:v>GTM-03;GTM-05</x:v>
      </x:c>
      <x:c r="Q209" s="33" t="str">
        <x:v>11.2;2.6</x:v>
      </x:c>
      <x:c r="R209" s="33" t="str">
        <x:v>Decomposição proposta</x:v>
      </x:c>
      <x:c r="S209" s="34"/>
      <x:c r="T209" s="33" t="str">
        <x:f>IF(I209="Concluída",IF(OR(S209="",M209=""),"Falta evidência/data","Confirmada"),"Não confirmada")</x:f>
        <x:v>Não confirmada</x:v>
      </x:c>
      <x:c r="U209" s="33" t="str">
        <x:f>IF(T209="Confirmada","Concluída",IF(I209="Cancelada","Cancelada",IF(L209="","Sem prazo",IF(L209&lt;TODAY(),"Prazo vencido","No prazo"))))</x:f>
        <x:v>Sem prazo</x:v>
      </x:c>
      <x:c r="V209" s="34"/>
    </x:row>
    <x:row r="210" ht="62" customHeight="1">
      <x:c r="A210" s="33" t="str">
        <x:v>PACK-03-CTA-02</x:v>
      </x:c>
      <x:c r="B210" s="33" t="str">
        <x:v>AR-02</x:v>
      </x:c>
      <x:c r="C210" s="33" t="str">
        <x:v>OBJ-02</x:v>
      </x:c>
      <x:c r="D210" s="33" t="str">
        <x:v>Produzir cta de ferramenta 2 do PACK-03</x:v>
      </x:c>
      <x:c r="E210" s="33" t="str">
        <x:v>Uma ação principal; benefício, destino e evento mensurável. Revisão e arquivo final registrados.</x:v>
      </x:c>
      <x:c r="F210" s="33" t="str">
        <x:v>PACK-03</x:v>
      </x:c>
      <x:c r="G210" s="33" t="str">
        <x:v>CTA</x:v>
      </x:c>
      <x:c r="H210" s="33" t="str">
        <x:v>Obrigatório</x:v>
      </x:c>
      <x:c r="I210" s="34" t="str">
        <x:v>A confirmar</x:v>
      </x:c>
      <x:c r="J210" s="34" t="str">
        <x:v>A definir</x:v>
      </x:c>
      <x:c r="K210" s="35"/>
      <x:c r="L210" s="35"/>
      <x:c r="M210" s="35"/>
      <x:c r="N210" s="33" t="str">
        <x:v>PACK-03-ART-01;PACK-03-VID-01;DST-05</x:v>
      </x:c>
      <x:c r="O210" s="33" t="str"/>
      <x:c r="P210" s="33" t="str">
        <x:v>GTM-03;GTM-05</x:v>
      </x:c>
      <x:c r="Q210" s="33" t="str">
        <x:v>11.2;2.6</x:v>
      </x:c>
      <x:c r="R210" s="33" t="str">
        <x:v>Decomposição proposta</x:v>
      </x:c>
      <x:c r="S210" s="34"/>
      <x:c r="T210" s="33" t="str">
        <x:f>IF(I210="Concluída",IF(OR(S210="",M210=""),"Falta evidência/data","Confirmada"),"Não confirmada")</x:f>
        <x:v>Não confirmada</x:v>
      </x:c>
      <x:c r="U210" s="33" t="str">
        <x:f>IF(T210="Confirmada","Concluída",IF(I210="Cancelada","Cancelada",IF(L210="","Sem prazo",IF(L210&lt;TODAY(),"Prazo vencido","No prazo"))))</x:f>
        <x:v>Sem prazo</x:v>
      </x:c>
      <x:c r="V210" s="34"/>
    </x:row>
    <x:row r="211" ht="62" customHeight="1">
      <x:c r="A211" s="33" t="str">
        <x:v>PACK-03-CTA-03</x:v>
      </x:c>
      <x:c r="B211" s="33" t="str">
        <x:v>AR-02</x:v>
      </x:c>
      <x:c r="C211" s="33" t="str">
        <x:v>OBJ-02</x:v>
      </x:c>
      <x:c r="D211" s="33" t="str">
        <x:v>Produzir cta de ferramenta 3 do PACK-03</x:v>
      </x:c>
      <x:c r="E211" s="33" t="str">
        <x:v>Uma ação principal; benefício, destino e evento mensurável. Revisão e arquivo final registrados.</x:v>
      </x:c>
      <x:c r="F211" s="33" t="str">
        <x:v>PACK-03</x:v>
      </x:c>
      <x:c r="G211" s="33" t="str">
        <x:v>CTA</x:v>
      </x:c>
      <x:c r="H211" s="33" t="str">
        <x:v>Obrigatório</x:v>
      </x:c>
      <x:c r="I211" s="34" t="str">
        <x:v>A confirmar</x:v>
      </x:c>
      <x:c r="J211" s="34" t="str">
        <x:v>A definir</x:v>
      </x:c>
      <x:c r="K211" s="35"/>
      <x:c r="L211" s="35"/>
      <x:c r="M211" s="35"/>
      <x:c r="N211" s="33" t="str">
        <x:v>PACK-03-ART-01;PACK-03-VID-01;DST-05</x:v>
      </x:c>
      <x:c r="O211" s="33" t="str"/>
      <x:c r="P211" s="33" t="str">
        <x:v>GTM-03;GTM-05</x:v>
      </x:c>
      <x:c r="Q211" s="33" t="str">
        <x:v>11.2;2.6</x:v>
      </x:c>
      <x:c r="R211" s="33" t="str">
        <x:v>Decomposição proposta</x:v>
      </x:c>
      <x:c r="S211" s="34"/>
      <x:c r="T211" s="33" t="str">
        <x:f>IF(I211="Concluída",IF(OR(S211="",M211=""),"Falta evidência/data","Confirmada"),"Não confirmada")</x:f>
        <x:v>Não confirmada</x:v>
      </x:c>
      <x:c r="U211" s="33" t="str">
        <x:f>IF(T211="Confirmada","Concluída",IF(I211="Cancelada","Cancelada",IF(L211="","Sem prazo",IF(L211&lt;TODAY(),"Prazo vencido","No prazo"))))</x:f>
        <x:v>Sem prazo</x:v>
      </x:c>
      <x:c r="V211" s="34"/>
    </x:row>
    <x:row r="212" ht="62" customHeight="1">
      <x:c r="A212" s="33" t="str">
        <x:v>PACK-03-CTA-04</x:v>
      </x:c>
      <x:c r="B212" s="33" t="str">
        <x:v>AR-02</x:v>
      </x:c>
      <x:c r="C212" s="33" t="str">
        <x:v>OBJ-02</x:v>
      </x:c>
      <x:c r="D212" s="33" t="str">
        <x:v>Produzir cta de ferramenta 4 do PACK-03</x:v>
      </x:c>
      <x:c r="E212" s="33" t="str">
        <x:v>Uma ação principal; benefício, destino e evento mensurável. Revisão e arquivo final registrados.</x:v>
      </x:c>
      <x:c r="F212" s="33" t="str">
        <x:v>PACK-03</x:v>
      </x:c>
      <x:c r="G212" s="33" t="str">
        <x:v>CTA</x:v>
      </x:c>
      <x:c r="H212" s="33" t="str">
        <x:v>Obrigatório</x:v>
      </x:c>
      <x:c r="I212" s="34" t="str">
        <x:v>A confirmar</x:v>
      </x:c>
      <x:c r="J212" s="34" t="str">
        <x:v>A definir</x:v>
      </x:c>
      <x:c r="K212" s="35"/>
      <x:c r="L212" s="35"/>
      <x:c r="M212" s="35"/>
      <x:c r="N212" s="33" t="str">
        <x:v>PACK-03-ART-01;PACK-03-VID-01;DST-05</x:v>
      </x:c>
      <x:c r="O212" s="33" t="str"/>
      <x:c r="P212" s="33" t="str">
        <x:v>GTM-03;GTM-05</x:v>
      </x:c>
      <x:c r="Q212" s="33" t="str">
        <x:v>11.2;2.6</x:v>
      </x:c>
      <x:c r="R212" s="33" t="str">
        <x:v>Decomposição proposta</x:v>
      </x:c>
      <x:c r="S212" s="34"/>
      <x:c r="T212" s="33" t="str">
        <x:f>IF(I212="Concluída",IF(OR(S212="",M212=""),"Falta evidência/data","Confirmada"),"Não confirmada")</x:f>
        <x:v>Não confirmada</x:v>
      </x:c>
      <x:c r="U212" s="33" t="str">
        <x:f>IF(T212="Confirmada","Concluída",IF(I212="Cancelada","Cancelada",IF(L212="","Sem prazo",IF(L212&lt;TODAY(),"Prazo vencido","No prazo"))))</x:f>
        <x:v>Sem prazo</x:v>
      </x:c>
      <x:c r="V212" s="34"/>
    </x:row>
    <x:row r="213" ht="62" customHeight="1">
      <x:c r="A213" s="33" t="str">
        <x:v>PACK-03-CTA-05</x:v>
      </x:c>
      <x:c r="B213" s="33" t="str">
        <x:v>AR-02</x:v>
      </x:c>
      <x:c r="C213" s="33" t="str">
        <x:v>OBJ-02</x:v>
      </x:c>
      <x:c r="D213" s="33" t="str">
        <x:v>Produzir cta de ferramenta 5 do PACK-03</x:v>
      </x:c>
      <x:c r="E213" s="33" t="str">
        <x:v>Uma ação principal; benefício, destino e evento mensurável. Revisão e arquivo final registrados.</x:v>
      </x:c>
      <x:c r="F213" s="33" t="str">
        <x:v>PACK-03</x:v>
      </x:c>
      <x:c r="G213" s="33" t="str">
        <x:v>CTA</x:v>
      </x:c>
      <x:c r="H213" s="33" t="str">
        <x:v>Obrigatório</x:v>
      </x:c>
      <x:c r="I213" s="34" t="str">
        <x:v>A confirmar</x:v>
      </x:c>
      <x:c r="J213" s="34" t="str">
        <x:v>A definir</x:v>
      </x:c>
      <x:c r="K213" s="35"/>
      <x:c r="L213" s="35"/>
      <x:c r="M213" s="35"/>
      <x:c r="N213" s="33" t="str">
        <x:v>PACK-03-ART-01;PACK-03-VID-01;DST-05</x:v>
      </x:c>
      <x:c r="O213" s="33" t="str"/>
      <x:c r="P213" s="33" t="str">
        <x:v>GTM-03;GTM-05</x:v>
      </x:c>
      <x:c r="Q213" s="33" t="str">
        <x:v>11.2;2.6</x:v>
      </x:c>
      <x:c r="R213" s="33" t="str">
        <x:v>Decomposição proposta</x:v>
      </x:c>
      <x:c r="S213" s="34"/>
      <x:c r="T213" s="33" t="str">
        <x:f>IF(I213="Concluída",IF(OR(S213="",M213=""),"Falta evidência/data","Confirmada"),"Não confirmada")</x:f>
        <x:v>Não confirmada</x:v>
      </x:c>
      <x:c r="U213" s="33" t="str">
        <x:f>IF(T213="Confirmada","Concluída",IF(I213="Cancelada","Cancelada",IF(L213="","Sem prazo",IF(L213&lt;TODAY(),"Prazo vencido","No prazo"))))</x:f>
        <x:v>Sem prazo</x:v>
      </x:c>
      <x:c r="V213" s="34"/>
    </x:row>
    <x:row r="214" ht="62" customHeight="1">
      <x:c r="A214" s="33" t="str">
        <x:v>PACK-03-CTA-06</x:v>
      </x:c>
      <x:c r="B214" s="33" t="str">
        <x:v>AR-02</x:v>
      </x:c>
      <x:c r="C214" s="33" t="str">
        <x:v>OBJ-02</x:v>
      </x:c>
      <x:c r="D214" s="33" t="str">
        <x:v>Produzir cta de ferramenta 6 do PACK-03</x:v>
      </x:c>
      <x:c r="E214" s="33" t="str">
        <x:v>Uma ação principal; benefício, destino e evento mensurável. Revisão e arquivo final registrados.</x:v>
      </x:c>
      <x:c r="F214" s="33" t="str">
        <x:v>PACK-03</x:v>
      </x:c>
      <x:c r="G214" s="33" t="str">
        <x:v>CTA</x:v>
      </x:c>
      <x:c r="H214" s="33" t="str">
        <x:v>Obrigatório</x:v>
      </x:c>
      <x:c r="I214" s="34" t="str">
        <x:v>A confirmar</x:v>
      </x:c>
      <x:c r="J214" s="34" t="str">
        <x:v>A definir</x:v>
      </x:c>
      <x:c r="K214" s="35"/>
      <x:c r="L214" s="35"/>
      <x:c r="M214" s="35"/>
      <x:c r="N214" s="33" t="str">
        <x:v>PACK-03-ART-01;PACK-03-VID-01;DST-05</x:v>
      </x:c>
      <x:c r="O214" s="33" t="str"/>
      <x:c r="P214" s="33" t="str">
        <x:v>GTM-03;GTM-05</x:v>
      </x:c>
      <x:c r="Q214" s="33" t="str">
        <x:v>11.2;2.6</x:v>
      </x:c>
      <x:c r="R214" s="33" t="str">
        <x:v>Decomposição proposta</x:v>
      </x:c>
      <x:c r="S214" s="34"/>
      <x:c r="T214" s="33" t="str">
        <x:f>IF(I214="Concluída",IF(OR(S214="",M214=""),"Falta evidência/data","Confirmada"),"Não confirmada")</x:f>
        <x:v>Não confirmada</x:v>
      </x:c>
      <x:c r="U214" s="33" t="str">
        <x:f>IF(T214="Confirmada","Concluída",IF(I214="Cancelada","Cancelada",IF(L214="","Sem prazo",IF(L214&lt;TODAY(),"Prazo vencido","No prazo"))))</x:f>
        <x:v>Sem prazo</x:v>
      </x:c>
      <x:c r="V214" s="34"/>
    </x:row>
    <x:row r="215" ht="226" customHeight="1">
      <x:c r="A215" s="33" t="str">
        <x:v>PACK-03-QA</x:v>
      </x:c>
      <x:c r="B215" s="33" t="str">
        <x:v>AR-02</x:v>
      </x:c>
      <x:c r="C215" s="33" t="str">
        <x:v>OBJ-02</x:v>
      </x:c>
      <x:c r="D215" s="33" t="str">
        <x:v>Revisar banco de conteúdo do PACK-03</x:v>
      </x:c>
      <x:c r="E215" s="33" t="str">
        <x:v>43 peças mínimas validadas; coerência, evidências, formatos e CTA revisados.</x:v>
      </x:c>
      <x:c r="F215" s="33" t="str">
        <x:v>PACK-03</x:v>
      </x:c>
      <x:c r="G215" s="33" t="str">
        <x:v>Atividade</x:v>
      </x:c>
      <x:c r="H215" s="33" t="str">
        <x:v>Obrigatório</x:v>
      </x:c>
      <x:c r="I215" s="34" t="str">
        <x:v>A confirmar</x:v>
      </x:c>
      <x:c r="J215" s="34" t="str">
        <x:v>A definir</x:v>
      </x:c>
      <x:c r="K215" s="35"/>
      <x:c r="L215" s="35"/>
      <x:c r="M215" s="35"/>
      <x:c r="N215" s="33" t="str">
        <x:v>PACK-03-ART-01;PACK-03-VID-01;PACK-03-VRT-01;PACK-03-VRT-02;PACK-03-VRT-03;PACK-03-VRT-04;PACK-03-CRS-01;PACK-03-CRS-02;PACK-03-CRS-03;PACK-03-CRS-04;PACK-03-CRS-05;PACK-03-CRS-06;PACK-03-IMG-01;PACK-03-IMG-02;PACK-03-IMG-03;PACK-03-IMG-04;PACK-03-IMG-05;PACK-03-IMG-06;PACK-03-INF-01;PACK-03-INF-02;PACK-03-INF-03;PACK-03-STR-01;PACK-03-STR-02;PACK-03-STR-03;PACK-03-STR-04;PACK-03-STR-05;PACK-03-STR-06;PACK-03-STR-07;PACK-03-STR-08;PACK-03-STR-09;PACK-03-STR-10;PACK-03-NWL-01;PACK-03-NWL-02;PACK-03-NWL-03;PACK-03-EBK-01;PACK-03-EBK-02;PACK-03-EBK-03;PACK-03-CTA-01;PACK-03-CTA-02;PACK-03-CTA-03;PACK-03-CTA-04;PACK-03-CTA-05;PACK-03-CTA-06</x:v>
      </x:c>
      <x:c r="O215" s="33" t="str"/>
      <x:c r="P215" s="33" t="str">
        <x:v>GTM-05</x:v>
      </x:c>
      <x:c r="Q215" s="33" t="str">
        <x:v>2.6;11.2</x:v>
      </x:c>
      <x:c r="R215" s="33" t="str">
        <x:v>Decomposição proposta</x:v>
      </x:c>
      <x:c r="S215" s="34"/>
      <x:c r="T215" s="33" t="str">
        <x:f>IF(I215="Concluída",IF(OR(S215="",M215=""),"Falta evidência/data","Confirmada"),"Não confirmada")</x:f>
        <x:v>Não confirmada</x:v>
      </x:c>
      <x:c r="U215" s="33" t="str">
        <x:f>IF(T215="Confirmada","Concluída",IF(I215="Cancelada","Cancelada",IF(L215="","Sem prazo",IF(L215&lt;TODAY(),"Prazo vencido","No prazo"))))</x:f>
        <x:v>Sem prazo</x:v>
      </x:c>
      <x:c r="V215" s="34"/>
    </x:row>
    <x:row r="216" ht="62" customHeight="1">
      <x:c r="A216" s="33" t="str">
        <x:v>PACK-03-DIST</x:v>
      </x:c>
      <x:c r="B216" s="33" t="str">
        <x:v>AR-08</x:v>
      </x:c>
      <x:c r="C216" s="33" t="str">
        <x:v>OBJ-08</x:v>
      </x:c>
      <x:c r="D216" s="33" t="str">
        <x:v>Adaptar e distribuir o PACK-03</x:v>
      </x:c>
      <x:c r="E216" s="33" t="str">
        <x:v>Canais aprovados recebem composição nativa; URLs, datas e sinais registrados.</x:v>
      </x:c>
      <x:c r="F216" s="33" t="str">
        <x:v>PACK-03</x:v>
      </x:c>
      <x:c r="G216" s="33" t="str">
        <x:v>Atividade</x:v>
      </x:c>
      <x:c r="H216" s="33" t="str">
        <x:v>Obrigatório</x:v>
      </x:c>
      <x:c r="I216" s="34" t="str">
        <x:v>A confirmar</x:v>
      </x:c>
      <x:c r="J216" s="34" t="str">
        <x:v>A definir</x:v>
      </x:c>
      <x:c r="K216" s="35"/>
      <x:c r="L216" s="35"/>
      <x:c r="M216" s="35"/>
      <x:c r="N216" s="33" t="str">
        <x:v>PACK-03-QA;DST-01;DST-06;GOV-09</x:v>
      </x:c>
      <x:c r="O216" s="33" t="str"/>
      <x:c r="P216" s="33" t="str">
        <x:v>GTM-04;GTM-06</x:v>
      </x:c>
      <x:c r="Q216" s="33" t="str">
        <x:v>1.4;11.2</x:v>
      </x:c>
      <x:c r="R216" s="33" t="str">
        <x:v>Decomposição proposta</x:v>
      </x:c>
      <x:c r="S216" s="34"/>
      <x:c r="T216" s="33" t="str">
        <x:f>IF(I216="Concluída",IF(OR(S216="",M216=""),"Falta evidência/data","Confirmada"),"Não confirmada")</x:f>
        <x:v>Não confirmada</x:v>
      </x:c>
      <x:c r="U216" s="33" t="str">
        <x:f>IF(T216="Confirmada","Concluída",IF(I216="Cancelada","Cancelada",IF(L216="","Sem prazo",IF(L216&lt;TODAY(),"Prazo vencido","No prazo"))))</x:f>
        <x:v>Sem prazo</x:v>
      </x:c>
      <x:c r="V216" s="34"/>
    </x:row>
  </x:sheetData>
  <x:conditionalFormatting sqref="I6:I216">
    <x:cfRule type="containsText" dxfId="0" priority="1" operator="containsText" text="Bloqueada"/>
  </x:conditionalFormatting>
  <x:conditionalFormatting sqref="T6:T216">
    <x:cfRule type="containsText" dxfId="1" priority="2" operator="containsText" text="Falta"/>
  </x:conditionalFormatting>
  <x:dataValidations count="1">
    <x:dataValidation type="list" sqref="I6:I216">
      <x:formula1>"A confirmar,Não iniciada,Em andamento,Bloqueada,Concluída,Cancelada"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e61e8948cc4976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5" hidden="0" customWidth="1"/>
    <x:col min="4" max="4" width="13" hidden="0" customWidth="1"/>
    <x:col min="5" max="5" width="13" hidden="0" customWidth="1"/>
    <x:col min="6" max="6" width="26" hidden="0" customWidth="1"/>
    <x:col min="7" max="7" width="21" hidden="0" customWidth="1"/>
    <x:col min="8" max="8" width="78" hidden="0" customWidth="1"/>
    <x:col min="9" max="9" width="24" hidden="0" customWidth="1"/>
  </x:cols>
  <x:sheetData>
    <x:row r="1">
      <x:c r="A1" s="24"/>
      <x:c r="B1" s="24"/>
      <x:c r="C1" s="24"/>
      <x:c r="D1" s="24"/>
      <x:c r="E1" s="24"/>
      <x:c r="F1" s="24"/>
      <x:c r="G1" s="24"/>
      <x:c r="H1" s="24"/>
      <x:c r="I1" s="24"/>
    </x:row>
    <x:row r="2">
      <x:c r="A2" s="26" t="str">
        <x:v>Controle de volume dos três packs</x:v>
      </x:c>
      <x:c r="B2" s="24"/>
      <x:c r="C2" s="24"/>
      <x:c r="D2" s="24"/>
      <x:c r="E2" s="24"/>
      <x:c r="F2" s="24"/>
      <x:c r="G2" s="24"/>
      <x:c r="H2" s="24"/>
      <x:c r="I2" s="24"/>
    </x:row>
    <x:row r="3">
      <x:c r="A3" s="24" t="str">
        <x:v>Shorts, Reels e TikTok derivam dos quatro verticais por pack. Stories 11 e 12 são opcionais.</x:v>
      </x:c>
      <x:c r="B3" s="24"/>
      <x:c r="C3" s="24"/>
      <x:c r="D3" s="24"/>
      <x:c r="E3" s="24"/>
      <x:c r="F3" s="24"/>
      <x:c r="G3" s="24"/>
      <x:c r="H3" s="24"/>
      <x:c r="I3" s="24"/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</x:row>
    <x:row r="5" ht="32" customHeight="1">
      <x:c r="A5" s="32" t="str">
        <x:v>Pack_ID</x:v>
      </x:c>
      <x:c r="B5" s="32" t="str">
        <x:v>Formato_ID</x:v>
      </x:c>
      <x:c r="C5" s="32" t="str">
        <x:v>Entregável</x:v>
      </x:c>
      <x:c r="D5" s="32" t="str">
        <x:v>Mínimo</x:v>
      </x:c>
      <x:c r="E5" s="32" t="str">
        <x:v>Máximo</x:v>
      </x:c>
      <x:c r="F5" s="32" t="str">
        <x:v>Obrigatórios confirmados</x:v>
      </x:c>
      <x:c r="G5" s="32" t="str">
        <x:v>Mínimo pendente</x:v>
      </x:c>
      <x:c r="H5" s="32" t="str">
        <x:v>Especificação</x:v>
      </x:c>
      <x:c r="I5" s="32" t="str">
        <x:v>Fonte_ID</x:v>
      </x:c>
    </x:row>
    <x:row r="6" ht="62" customHeight="1">
      <x:c r="A6" s="33" t="str">
        <x:v>PACK-01</x:v>
      </x:c>
      <x:c r="B6" s="33" t="str">
        <x:v>ART</x:v>
      </x:c>
      <x:c r="C6" s="33" t="str">
        <x:v>Artigo-mãe</x:v>
      </x:c>
      <x:c r="D6" s="33" t="n">
        <x:v>1</x:v>
      </x:c>
      <x:c r="E6" s="33" t="n">
        <x:v>1</x:v>
      </x:c>
      <x:c r="F6" s="33" t="n">
        <x:f>COUNTIFS('11_Plano_Projeto'!$F$6:$F$216,A6,'11_Plano_Projeto'!$G$6:$G$216,B6,'11_Plano_Projeto'!$H$6:$H$216,"Obrigatório",'11_Plano_Projeto'!$T$6:$T$216,"Confirmada")</x:f>
        <x:v>0</x:v>
      </x:c>
      <x:c r="G6" s="33" t="n">
        <x:f>MAX(0,D6-F6)</x:f>
        <x:v>1</x:v>
      </x:c>
      <x:c r="H6" s="33" t="str">
        <x:v>Markdown/HTML; 1.800–2.400 palavras; 9–11 blocos</x:v>
      </x:c>
      <x:c r="I6" s="33" t="str">
        <x:v>GTM-03;GTM-05</x:v>
      </x:c>
    </x:row>
    <x:row r="7" ht="62" customHeight="1">
      <x:c r="A7" s="33" t="str">
        <x:v>PACK-01</x:v>
      </x:c>
      <x:c r="B7" s="33" t="str">
        <x:v>VID</x:v>
      </x:c>
      <x:c r="C7" s="33" t="str">
        <x:v>Vídeo-mãe</x:v>
      </x:c>
      <x:c r="D7" s="33" t="n">
        <x:v>1</x:v>
      </x:c>
      <x:c r="E7" s="33" t="n">
        <x:v>1</x:v>
      </x:c>
      <x:c r="F7" s="33" t="n">
        <x:f>COUNTIFS('11_Plano_Projeto'!$F$6:$F$216,A7,'11_Plano_Projeto'!$G$6:$G$216,B7,'11_Plano_Projeto'!$H$6:$H$216,"Obrigatório",'11_Plano_Projeto'!$T$6:$T$216,"Confirmada")</x:f>
        <x:v>0</x:v>
      </x:c>
      <x:c r="G7" s="33" t="n">
        <x:f>MAX(0,D7-F7)</x:f>
        <x:v>1</x:v>
      </x:c>
      <x:c r="H7" s="33" t="str">
        <x:v>MP4; 16:9; 1920×1080; 8–12 min</x:v>
      </x:c>
      <x:c r="I7" s="33" t="str">
        <x:v>GTM-03;GTM-05</x:v>
      </x:c>
    </x:row>
    <x:row r="8" ht="62" customHeight="1">
      <x:c r="A8" s="33" t="str">
        <x:v>PACK-01</x:v>
      </x:c>
      <x:c r="B8" s="33" t="str">
        <x:v>VRT</x:v>
      </x:c>
      <x:c r="C8" s="33" t="str">
        <x:v>Vídeo vertical</x:v>
      </x:c>
      <x:c r="D8" s="33" t="n">
        <x:v>4</x:v>
      </x:c>
      <x:c r="E8" s="33" t="n">
        <x:v>4</x:v>
      </x:c>
      <x:c r="F8" s="33" t="n">
        <x:f>COUNTIFS('11_Plano_Projeto'!$F$6:$F$216,A8,'11_Plano_Projeto'!$G$6:$G$216,B8,'11_Plano_Projeto'!$H$6:$H$216,"Obrigatório",'11_Plano_Projeto'!$T$6:$T$216,"Confirmada")</x:f>
        <x:v>0</x:v>
      </x:c>
      <x:c r="G8" s="33" t="n">
        <x:f>MAX(0,D8-F8)</x:f>
        <x:v>4</x:v>
      </x:c>
      <x:c r="H8" s="33" t="str">
        <x:v>MP4; 9:16; 1080×1920; 20–60 s. Shorts/Reels/TikTok são adaptações, sem contar novos masters.</x:v>
      </x:c>
      <x:c r="I8" s="33" t="str">
        <x:v>GTM-03;GTM-05</x:v>
      </x:c>
    </x:row>
    <x:row r="9" ht="62" customHeight="1">
      <x:c r="A9" s="33" t="str">
        <x:v>PACK-01</x:v>
      </x:c>
      <x:c r="B9" s="33" t="str">
        <x:v>CRS</x:v>
      </x:c>
      <x:c r="C9" s="33" t="str">
        <x:v>Carrossel</x:v>
      </x:c>
      <x:c r="D9" s="33" t="n">
        <x:v>6</x:v>
      </x:c>
      <x:c r="E9" s="33" t="n">
        <x:v>6</x:v>
      </x:c>
      <x:c r="F9" s="33" t="n">
        <x:f>COUNTIFS('11_Plano_Projeto'!$F$6:$F$216,A9,'11_Plano_Projeto'!$G$6:$G$216,B9,'11_Plano_Projeto'!$H$6:$H$216,"Obrigatório",'11_Plano_Projeto'!$T$6:$T$216,"Confirmada")</x:f>
        <x:v>0</x:v>
      </x:c>
      <x:c r="G9" s="33" t="n">
        <x:f>MAX(0,D9-F9)</x:f>
        <x:v>6</x:v>
      </x:c>
      <x:c r="H9" s="33" t="str">
        <x:v>PNG/JPG ou PDF; 1080×1350; 6–10 páginas</x:v>
      </x:c>
      <x:c r="I9" s="33" t="str">
        <x:v>GTM-03;GTM-05</x:v>
      </x:c>
    </x:row>
    <x:row r="10" ht="62" customHeight="1">
      <x:c r="A10" s="33" t="str">
        <x:v>PACK-01</x:v>
      </x:c>
      <x:c r="B10" s="33" t="str">
        <x:v>IMG</x:v>
      </x:c>
      <x:c r="C10" s="33" t="str">
        <x:v>Imagem estática</x:v>
      </x:c>
      <x:c r="D10" s="33" t="n">
        <x:v>6</x:v>
      </x:c>
      <x:c r="E10" s="33" t="n">
        <x:v>6</x:v>
      </x:c>
      <x:c r="F10" s="33" t="n">
        <x:f>COUNTIFS('11_Plano_Projeto'!$F$6:$F$216,A10,'11_Plano_Projeto'!$G$6:$G$216,B10,'11_Plano_Projeto'!$H$6:$H$216,"Obrigatório",'11_Plano_Projeto'!$T$6:$T$216,"Confirmada")</x:f>
        <x:v>0</x:v>
      </x:c>
      <x:c r="G10" s="33" t="n">
        <x:f>MAX(0,D10-F10)</x:f>
        <x:v>6</x:v>
      </x:c>
      <x:c r="H10" s="33" t="str">
        <x:v>PNG/JPG; 1080×1350; alternativa 1080×1080</x:v>
      </x:c>
      <x:c r="I10" s="33" t="str">
        <x:v>GTM-03;GTM-05</x:v>
      </x:c>
    </x:row>
    <x:row r="11" ht="62" customHeight="1">
      <x:c r="A11" s="33" t="str">
        <x:v>PACK-01</x:v>
      </x:c>
      <x:c r="B11" s="33" t="str">
        <x:v>INF</x:v>
      </x:c>
      <x:c r="C11" s="33" t="str">
        <x:v>Infográfico</x:v>
      </x:c>
      <x:c r="D11" s="33" t="n">
        <x:v>3</x:v>
      </x:c>
      <x:c r="E11" s="33" t="n">
        <x:v>3</x:v>
      </x:c>
      <x:c r="F11" s="33" t="n">
        <x:f>COUNTIFS('11_Plano_Projeto'!$F$6:$F$216,A11,'11_Plano_Projeto'!$G$6:$G$216,B11,'11_Plano_Projeto'!$H$6:$H$216,"Obrigatório",'11_Plano_Projeto'!$T$6:$T$216,"Confirmada")</x:f>
        <x:v>0</x:v>
      </x:c>
      <x:c r="G11" s="33" t="n">
        <x:f>MAX(0,D11-F11)</x:f>
        <x:v>3</x:v>
      </x:c>
      <x:c r="H11" s="33" t="str">
        <x:v>PNG/SVG; 1920×1080; processo, mapa ou framework</x:v>
      </x:c>
      <x:c r="I11" s="33" t="str">
        <x:v>GTM-03;GTM-05</x:v>
      </x:c>
    </x:row>
    <x:row r="12" ht="62" customHeight="1">
      <x:c r="A12" s="33" t="str">
        <x:v>PACK-01</x:v>
      </x:c>
      <x:c r="B12" s="33" t="str">
        <x:v>STR</x:v>
      </x:c>
      <x:c r="C12" s="33" t="str">
        <x:v>Story</x:v>
      </x:c>
      <x:c r="D12" s="33" t="n">
        <x:v>10</x:v>
      </x:c>
      <x:c r="E12" s="33" t="n">
        <x:v>12</x:v>
      </x:c>
      <x:c r="F12" s="33" t="n">
        <x:f>COUNTIFS('11_Plano_Projeto'!$F$6:$F$216,A12,'11_Plano_Projeto'!$G$6:$G$216,B12,'11_Plano_Projeto'!$H$6:$H$216,"Obrigatório",'11_Plano_Projeto'!$T$6:$T$216,"Confirmada")</x:f>
        <x:v>0</x:v>
      </x:c>
      <x:c r="G12" s="33" t="n">
        <x:f>MAX(0,D12-F12)</x:f>
        <x:v>10</x:v>
      </x:c>
      <x:c r="H12" s="33" t="str">
        <x:v>Imagem/vídeo; 1080×1920; sequência modular</x:v>
      </x:c>
      <x:c r="I12" s="33" t="str">
        <x:v>GTM-03;GTM-05</x:v>
      </x:c>
    </x:row>
    <x:row r="13" ht="62" customHeight="1">
      <x:c r="A13" s="33" t="str">
        <x:v>PACK-01</x:v>
      </x:c>
      <x:c r="B13" s="33" t="str">
        <x:v>NWL</x:v>
      </x:c>
      <x:c r="C13" s="33" t="str">
        <x:v>Newsletter</x:v>
      </x:c>
      <x:c r="D13" s="33" t="n">
        <x:v>3</x:v>
      </x:c>
      <x:c r="E13" s="33" t="n">
        <x:v>3</x:v>
      </x:c>
      <x:c r="F13" s="33" t="n">
        <x:f>COUNTIFS('11_Plano_Projeto'!$F$6:$F$216,A13,'11_Plano_Projeto'!$G$6:$G$216,B13,'11_Plano_Projeto'!$H$6:$H$216,"Obrigatório",'11_Plano_Projeto'!$T$6:$T$216,"Confirmada")</x:f>
        <x:v>0</x:v>
      </x:c>
      <x:c r="G13" s="33" t="n">
        <x:f>MAX(0,D13-F13)</x:f>
        <x:v>3</x:v>
      </x:c>
      <x:c r="H13" s="33" t="str">
        <x:v>HTML responsivo; aprendizado, aplicação e CTA</x:v>
      </x:c>
      <x:c r="I13" s="33" t="str">
        <x:v>GTM-03;GTM-05</x:v>
      </x:c>
    </x:row>
    <x:row r="14" ht="62" customHeight="1">
      <x:c r="A14" s="33" t="str">
        <x:v>PACK-01</x:v>
      </x:c>
      <x:c r="B14" s="33" t="str">
        <x:v>EBK</x:v>
      </x:c>
      <x:c r="C14" s="33" t="str">
        <x:v>Ebook</x:v>
      </x:c>
      <x:c r="D14" s="33" t="n">
        <x:v>3</x:v>
      </x:c>
      <x:c r="E14" s="33" t="n">
        <x:v>3</x:v>
      </x:c>
      <x:c r="F14" s="33" t="n">
        <x:f>COUNTIFS('11_Plano_Projeto'!$F$6:$F$216,A14,'11_Plano_Projeto'!$G$6:$G$216,B14,'11_Plano_Projeto'!$H$6:$H$216,"Obrigatório",'11_Plano_Projeto'!$T$6:$T$216,"Confirmada")</x:f>
        <x:v>0</x:v>
      </x:c>
      <x:c r="G14" s="33" t="n">
        <x:f>MAX(0,D14-F14)</x:f>
        <x:v>3</x:v>
      </x:c>
      <x:c r="H14" s="33" t="str">
        <x:v>PDF A4; framework, exercício/template e CTA</x:v>
      </x:c>
      <x:c r="I14" s="33" t="str">
        <x:v>GTM-03;GTM-05</x:v>
      </x:c>
    </x:row>
    <x:row r="15" ht="62" customHeight="1">
      <x:c r="A15" s="33" t="str">
        <x:v>PACK-01</x:v>
      </x:c>
      <x:c r="B15" s="33" t="str">
        <x:v>CTA</x:v>
      </x:c>
      <x:c r="C15" s="33" t="str">
        <x:v>CTA de ferramenta</x:v>
      </x:c>
      <x:c r="D15" s="33" t="n">
        <x:v>6</x:v>
      </x:c>
      <x:c r="E15" s="33" t="n">
        <x:v>6</x:v>
      </x:c>
      <x:c r="F15" s="33" t="n">
        <x:f>COUNTIFS('11_Plano_Projeto'!$F$6:$F$216,A15,'11_Plano_Projeto'!$G$6:$G$216,B15,'11_Plano_Projeto'!$H$6:$H$216,"Obrigatório",'11_Plano_Projeto'!$T$6:$T$216,"Confirmada")</x:f>
        <x:v>0</x:v>
      </x:c>
      <x:c r="G15" s="33" t="n">
        <x:f>MAX(0,D15-F15)</x:f>
        <x:v>6</x:v>
      </x:c>
      <x:c r="H15" s="33" t="str">
        <x:v>Uma ação principal; benefício, destino e evento mensurável</x:v>
      </x:c>
      <x:c r="I15" s="33" t="str">
        <x:v>GTM-03;GTM-05</x:v>
      </x:c>
    </x:row>
    <x:row r="16" ht="62" customHeight="1">
      <x:c r="A16" s="33" t="str">
        <x:v>PACK-02</x:v>
      </x:c>
      <x:c r="B16" s="33" t="str">
        <x:v>ART</x:v>
      </x:c>
      <x:c r="C16" s="33" t="str">
        <x:v>Artigo-mãe</x:v>
      </x:c>
      <x:c r="D16" s="33" t="n">
        <x:v>1</x:v>
      </x:c>
      <x:c r="E16" s="33" t="n">
        <x:v>1</x:v>
      </x:c>
      <x:c r="F16" s="33" t="n">
        <x:f>COUNTIFS('11_Plano_Projeto'!$F$6:$F$216,A16,'11_Plano_Projeto'!$G$6:$G$216,B16,'11_Plano_Projeto'!$H$6:$H$216,"Obrigatório",'11_Plano_Projeto'!$T$6:$T$216,"Confirmada")</x:f>
        <x:v>0</x:v>
      </x:c>
      <x:c r="G16" s="33" t="n">
        <x:f>MAX(0,D16-F16)</x:f>
        <x:v>1</x:v>
      </x:c>
      <x:c r="H16" s="33" t="str">
        <x:v>Markdown/HTML; 1.800–2.400 palavras; 9–11 blocos</x:v>
      </x:c>
      <x:c r="I16" s="33" t="str">
        <x:v>GTM-03;GTM-05</x:v>
      </x:c>
    </x:row>
    <x:row r="17" ht="62" customHeight="1">
      <x:c r="A17" s="33" t="str">
        <x:v>PACK-02</x:v>
      </x:c>
      <x:c r="B17" s="33" t="str">
        <x:v>VID</x:v>
      </x:c>
      <x:c r="C17" s="33" t="str">
        <x:v>Vídeo-mãe</x:v>
      </x:c>
      <x:c r="D17" s="33" t="n">
        <x:v>1</x:v>
      </x:c>
      <x:c r="E17" s="33" t="n">
        <x:v>1</x:v>
      </x:c>
      <x:c r="F17" s="33" t="n">
        <x:f>COUNTIFS('11_Plano_Projeto'!$F$6:$F$216,A17,'11_Plano_Projeto'!$G$6:$G$216,B17,'11_Plano_Projeto'!$H$6:$H$216,"Obrigatório",'11_Plano_Projeto'!$T$6:$T$216,"Confirmada")</x:f>
        <x:v>0</x:v>
      </x:c>
      <x:c r="G17" s="33" t="n">
        <x:f>MAX(0,D17-F17)</x:f>
        <x:v>1</x:v>
      </x:c>
      <x:c r="H17" s="33" t="str">
        <x:v>MP4; 16:9; 1920×1080; 8–12 min</x:v>
      </x:c>
      <x:c r="I17" s="33" t="str">
        <x:v>GTM-03;GTM-05</x:v>
      </x:c>
    </x:row>
    <x:row r="18" ht="62" customHeight="1">
      <x:c r="A18" s="33" t="str">
        <x:v>PACK-02</x:v>
      </x:c>
      <x:c r="B18" s="33" t="str">
        <x:v>VRT</x:v>
      </x:c>
      <x:c r="C18" s="33" t="str">
        <x:v>Vídeo vertical</x:v>
      </x:c>
      <x:c r="D18" s="33" t="n">
        <x:v>4</x:v>
      </x:c>
      <x:c r="E18" s="33" t="n">
        <x:v>4</x:v>
      </x:c>
      <x:c r="F18" s="33" t="n">
        <x:f>COUNTIFS('11_Plano_Projeto'!$F$6:$F$216,A18,'11_Plano_Projeto'!$G$6:$G$216,B18,'11_Plano_Projeto'!$H$6:$H$216,"Obrigatório",'11_Plano_Projeto'!$T$6:$T$216,"Confirmada")</x:f>
        <x:v>0</x:v>
      </x:c>
      <x:c r="G18" s="33" t="n">
        <x:f>MAX(0,D18-F18)</x:f>
        <x:v>4</x:v>
      </x:c>
      <x:c r="H18" s="33" t="str">
        <x:v>MP4; 9:16; 1080×1920; 20–60 s. Shorts/Reels/TikTok são adaptações, sem contar novos masters.</x:v>
      </x:c>
      <x:c r="I18" s="33" t="str">
        <x:v>GTM-03;GTM-05</x:v>
      </x:c>
    </x:row>
    <x:row r="19" ht="62" customHeight="1">
      <x:c r="A19" s="33" t="str">
        <x:v>PACK-02</x:v>
      </x:c>
      <x:c r="B19" s="33" t="str">
        <x:v>CRS</x:v>
      </x:c>
      <x:c r="C19" s="33" t="str">
        <x:v>Carrossel</x:v>
      </x:c>
      <x:c r="D19" s="33" t="n">
        <x:v>6</x:v>
      </x:c>
      <x:c r="E19" s="33" t="n">
        <x:v>6</x:v>
      </x:c>
      <x:c r="F19" s="33" t="n">
        <x:f>COUNTIFS('11_Plano_Projeto'!$F$6:$F$216,A19,'11_Plano_Projeto'!$G$6:$G$216,B19,'11_Plano_Projeto'!$H$6:$H$216,"Obrigatório",'11_Plano_Projeto'!$T$6:$T$216,"Confirmada")</x:f>
        <x:v>0</x:v>
      </x:c>
      <x:c r="G19" s="33" t="n">
        <x:f>MAX(0,D19-F19)</x:f>
        <x:v>6</x:v>
      </x:c>
      <x:c r="H19" s="33" t="str">
        <x:v>PNG/JPG ou PDF; 1080×1350; 6–10 páginas</x:v>
      </x:c>
      <x:c r="I19" s="33" t="str">
        <x:v>GTM-03;GTM-05</x:v>
      </x:c>
    </x:row>
    <x:row r="20" ht="62" customHeight="1">
      <x:c r="A20" s="33" t="str">
        <x:v>PACK-02</x:v>
      </x:c>
      <x:c r="B20" s="33" t="str">
        <x:v>IMG</x:v>
      </x:c>
      <x:c r="C20" s="33" t="str">
        <x:v>Imagem estática</x:v>
      </x:c>
      <x:c r="D20" s="33" t="n">
        <x:v>6</x:v>
      </x:c>
      <x:c r="E20" s="33" t="n">
        <x:v>6</x:v>
      </x:c>
      <x:c r="F20" s="33" t="n">
        <x:f>COUNTIFS('11_Plano_Projeto'!$F$6:$F$216,A20,'11_Plano_Projeto'!$G$6:$G$216,B20,'11_Plano_Projeto'!$H$6:$H$216,"Obrigatório",'11_Plano_Projeto'!$T$6:$T$216,"Confirmada")</x:f>
        <x:v>0</x:v>
      </x:c>
      <x:c r="G20" s="33" t="n">
        <x:f>MAX(0,D20-F20)</x:f>
        <x:v>6</x:v>
      </x:c>
      <x:c r="H20" s="33" t="str">
        <x:v>PNG/JPG; 1080×1350; alternativa 1080×1080</x:v>
      </x:c>
      <x:c r="I20" s="33" t="str">
        <x:v>GTM-03;GTM-05</x:v>
      </x:c>
    </x:row>
    <x:row r="21" ht="62" customHeight="1">
      <x:c r="A21" s="33" t="str">
        <x:v>PACK-02</x:v>
      </x:c>
      <x:c r="B21" s="33" t="str">
        <x:v>INF</x:v>
      </x:c>
      <x:c r="C21" s="33" t="str">
        <x:v>Infográfico</x:v>
      </x:c>
      <x:c r="D21" s="33" t="n">
        <x:v>3</x:v>
      </x:c>
      <x:c r="E21" s="33" t="n">
        <x:v>3</x:v>
      </x:c>
      <x:c r="F21" s="33" t="n">
        <x:f>COUNTIFS('11_Plano_Projeto'!$F$6:$F$216,A21,'11_Plano_Projeto'!$G$6:$G$216,B21,'11_Plano_Projeto'!$H$6:$H$216,"Obrigatório",'11_Plano_Projeto'!$T$6:$T$216,"Confirmada")</x:f>
        <x:v>0</x:v>
      </x:c>
      <x:c r="G21" s="33" t="n">
        <x:f>MAX(0,D21-F21)</x:f>
        <x:v>3</x:v>
      </x:c>
      <x:c r="H21" s="33" t="str">
        <x:v>PNG/SVG; 1920×1080; processo, mapa ou framework</x:v>
      </x:c>
      <x:c r="I21" s="33" t="str">
        <x:v>GTM-03;GTM-05</x:v>
      </x:c>
    </x:row>
    <x:row r="22" ht="62" customHeight="1">
      <x:c r="A22" s="33" t="str">
        <x:v>PACK-02</x:v>
      </x:c>
      <x:c r="B22" s="33" t="str">
        <x:v>STR</x:v>
      </x:c>
      <x:c r="C22" s="33" t="str">
        <x:v>Story</x:v>
      </x:c>
      <x:c r="D22" s="33" t="n">
        <x:v>10</x:v>
      </x:c>
      <x:c r="E22" s="33" t="n">
        <x:v>12</x:v>
      </x:c>
      <x:c r="F22" s="33" t="n">
        <x:f>COUNTIFS('11_Plano_Projeto'!$F$6:$F$216,A22,'11_Plano_Projeto'!$G$6:$G$216,B22,'11_Plano_Projeto'!$H$6:$H$216,"Obrigatório",'11_Plano_Projeto'!$T$6:$T$216,"Confirmada")</x:f>
        <x:v>0</x:v>
      </x:c>
      <x:c r="G22" s="33" t="n">
        <x:f>MAX(0,D22-F22)</x:f>
        <x:v>10</x:v>
      </x:c>
      <x:c r="H22" s="33" t="str">
        <x:v>Imagem/vídeo; 1080×1920; sequência modular</x:v>
      </x:c>
      <x:c r="I22" s="33" t="str">
        <x:v>GTM-03;GTM-05</x:v>
      </x:c>
    </x:row>
    <x:row r="23" ht="62" customHeight="1">
      <x:c r="A23" s="33" t="str">
        <x:v>PACK-02</x:v>
      </x:c>
      <x:c r="B23" s="33" t="str">
        <x:v>NWL</x:v>
      </x:c>
      <x:c r="C23" s="33" t="str">
        <x:v>Newsletter</x:v>
      </x:c>
      <x:c r="D23" s="33" t="n">
        <x:v>3</x:v>
      </x:c>
      <x:c r="E23" s="33" t="n">
        <x:v>3</x:v>
      </x:c>
      <x:c r="F23" s="33" t="n">
        <x:f>COUNTIFS('11_Plano_Projeto'!$F$6:$F$216,A23,'11_Plano_Projeto'!$G$6:$G$216,B23,'11_Plano_Projeto'!$H$6:$H$216,"Obrigatório",'11_Plano_Projeto'!$T$6:$T$216,"Confirmada")</x:f>
        <x:v>0</x:v>
      </x:c>
      <x:c r="G23" s="33" t="n">
        <x:f>MAX(0,D23-F23)</x:f>
        <x:v>3</x:v>
      </x:c>
      <x:c r="H23" s="33" t="str">
        <x:v>HTML responsivo; aprendizado, aplicação e CTA</x:v>
      </x:c>
      <x:c r="I23" s="33" t="str">
        <x:v>GTM-03;GTM-05</x:v>
      </x:c>
    </x:row>
    <x:row r="24" ht="62" customHeight="1">
      <x:c r="A24" s="33" t="str">
        <x:v>PACK-02</x:v>
      </x:c>
      <x:c r="B24" s="33" t="str">
        <x:v>EBK</x:v>
      </x:c>
      <x:c r="C24" s="33" t="str">
        <x:v>Ebook</x:v>
      </x:c>
      <x:c r="D24" s="33" t="n">
        <x:v>3</x:v>
      </x:c>
      <x:c r="E24" s="33" t="n">
        <x:v>3</x:v>
      </x:c>
      <x:c r="F24" s="33" t="n">
        <x:f>COUNTIFS('11_Plano_Projeto'!$F$6:$F$216,A24,'11_Plano_Projeto'!$G$6:$G$216,B24,'11_Plano_Projeto'!$H$6:$H$216,"Obrigatório",'11_Plano_Projeto'!$T$6:$T$216,"Confirmada")</x:f>
        <x:v>0</x:v>
      </x:c>
      <x:c r="G24" s="33" t="n">
        <x:f>MAX(0,D24-F24)</x:f>
        <x:v>3</x:v>
      </x:c>
      <x:c r="H24" s="33" t="str">
        <x:v>PDF A4; framework, exercício/template e CTA</x:v>
      </x:c>
      <x:c r="I24" s="33" t="str">
        <x:v>GTM-03;GTM-05</x:v>
      </x:c>
    </x:row>
    <x:row r="25" ht="62" customHeight="1">
      <x:c r="A25" s="33" t="str">
        <x:v>PACK-02</x:v>
      </x:c>
      <x:c r="B25" s="33" t="str">
        <x:v>CTA</x:v>
      </x:c>
      <x:c r="C25" s="33" t="str">
        <x:v>CTA de ferramenta</x:v>
      </x:c>
      <x:c r="D25" s="33" t="n">
        <x:v>6</x:v>
      </x:c>
      <x:c r="E25" s="33" t="n">
        <x:v>6</x:v>
      </x:c>
      <x:c r="F25" s="33" t="n">
        <x:f>COUNTIFS('11_Plano_Projeto'!$F$6:$F$216,A25,'11_Plano_Projeto'!$G$6:$G$216,B25,'11_Plano_Projeto'!$H$6:$H$216,"Obrigatório",'11_Plano_Projeto'!$T$6:$T$216,"Confirmada")</x:f>
        <x:v>0</x:v>
      </x:c>
      <x:c r="G25" s="33" t="n">
        <x:f>MAX(0,D25-F25)</x:f>
        <x:v>6</x:v>
      </x:c>
      <x:c r="H25" s="33" t="str">
        <x:v>Uma ação principal; benefício, destino e evento mensurável</x:v>
      </x:c>
      <x:c r="I25" s="33" t="str">
        <x:v>GTM-03;GTM-05</x:v>
      </x:c>
    </x:row>
    <x:row r="26" ht="62" customHeight="1">
      <x:c r="A26" s="33" t="str">
        <x:v>PACK-03</x:v>
      </x:c>
      <x:c r="B26" s="33" t="str">
        <x:v>ART</x:v>
      </x:c>
      <x:c r="C26" s="33" t="str">
        <x:v>Artigo-mãe</x:v>
      </x:c>
      <x:c r="D26" s="33" t="n">
        <x:v>1</x:v>
      </x:c>
      <x:c r="E26" s="33" t="n">
        <x:v>1</x:v>
      </x:c>
      <x:c r="F26" s="33" t="n">
        <x:f>COUNTIFS('11_Plano_Projeto'!$F$6:$F$216,A26,'11_Plano_Projeto'!$G$6:$G$216,B26,'11_Plano_Projeto'!$H$6:$H$216,"Obrigatório",'11_Plano_Projeto'!$T$6:$T$216,"Confirmada")</x:f>
        <x:v>0</x:v>
      </x:c>
      <x:c r="G26" s="33" t="n">
        <x:f>MAX(0,D26-F26)</x:f>
        <x:v>1</x:v>
      </x:c>
      <x:c r="H26" s="33" t="str">
        <x:v>Markdown/HTML; 1.800–2.400 palavras; 9–11 blocos</x:v>
      </x:c>
      <x:c r="I26" s="33" t="str">
        <x:v>GTM-03;GTM-05</x:v>
      </x:c>
    </x:row>
    <x:row r="27" ht="62" customHeight="1">
      <x:c r="A27" s="33" t="str">
        <x:v>PACK-03</x:v>
      </x:c>
      <x:c r="B27" s="33" t="str">
        <x:v>VID</x:v>
      </x:c>
      <x:c r="C27" s="33" t="str">
        <x:v>Vídeo-mãe</x:v>
      </x:c>
      <x:c r="D27" s="33" t="n">
        <x:v>1</x:v>
      </x:c>
      <x:c r="E27" s="33" t="n">
        <x:v>1</x:v>
      </x:c>
      <x:c r="F27" s="33" t="n">
        <x:f>COUNTIFS('11_Plano_Projeto'!$F$6:$F$216,A27,'11_Plano_Projeto'!$G$6:$G$216,B27,'11_Plano_Projeto'!$H$6:$H$216,"Obrigatório",'11_Plano_Projeto'!$T$6:$T$216,"Confirmada")</x:f>
        <x:v>0</x:v>
      </x:c>
      <x:c r="G27" s="33" t="n">
        <x:f>MAX(0,D27-F27)</x:f>
        <x:v>1</x:v>
      </x:c>
      <x:c r="H27" s="33" t="str">
        <x:v>MP4; 16:9; 1920×1080; 8–12 min</x:v>
      </x:c>
      <x:c r="I27" s="33" t="str">
        <x:v>GTM-03;GTM-05</x:v>
      </x:c>
    </x:row>
    <x:row r="28" ht="62" customHeight="1">
      <x:c r="A28" s="33" t="str">
        <x:v>PACK-03</x:v>
      </x:c>
      <x:c r="B28" s="33" t="str">
        <x:v>VRT</x:v>
      </x:c>
      <x:c r="C28" s="33" t="str">
        <x:v>Vídeo vertical</x:v>
      </x:c>
      <x:c r="D28" s="33" t="n">
        <x:v>4</x:v>
      </x:c>
      <x:c r="E28" s="33" t="n">
        <x:v>4</x:v>
      </x:c>
      <x:c r="F28" s="33" t="n">
        <x:f>COUNTIFS('11_Plano_Projeto'!$F$6:$F$216,A28,'11_Plano_Projeto'!$G$6:$G$216,B28,'11_Plano_Projeto'!$H$6:$H$216,"Obrigatório",'11_Plano_Projeto'!$T$6:$T$216,"Confirmada")</x:f>
        <x:v>0</x:v>
      </x:c>
      <x:c r="G28" s="33" t="n">
        <x:f>MAX(0,D28-F28)</x:f>
        <x:v>4</x:v>
      </x:c>
      <x:c r="H28" s="33" t="str">
        <x:v>MP4; 9:16; 1080×1920; 20–60 s. Shorts/Reels/TikTok são adaptações, sem contar novos masters.</x:v>
      </x:c>
      <x:c r="I28" s="33" t="str">
        <x:v>GTM-03;GTM-05</x:v>
      </x:c>
    </x:row>
    <x:row r="29" ht="62" customHeight="1">
      <x:c r="A29" s="33" t="str">
        <x:v>PACK-03</x:v>
      </x:c>
      <x:c r="B29" s="33" t="str">
        <x:v>CRS</x:v>
      </x:c>
      <x:c r="C29" s="33" t="str">
        <x:v>Carrossel</x:v>
      </x:c>
      <x:c r="D29" s="33" t="n">
        <x:v>6</x:v>
      </x:c>
      <x:c r="E29" s="33" t="n">
        <x:v>6</x:v>
      </x:c>
      <x:c r="F29" s="33" t="n">
        <x:f>COUNTIFS('11_Plano_Projeto'!$F$6:$F$216,A29,'11_Plano_Projeto'!$G$6:$G$216,B29,'11_Plano_Projeto'!$H$6:$H$216,"Obrigatório",'11_Plano_Projeto'!$T$6:$T$216,"Confirmada")</x:f>
        <x:v>0</x:v>
      </x:c>
      <x:c r="G29" s="33" t="n">
        <x:f>MAX(0,D29-F29)</x:f>
        <x:v>6</x:v>
      </x:c>
      <x:c r="H29" s="33" t="str">
        <x:v>PNG/JPG ou PDF; 1080×1350; 6–10 páginas</x:v>
      </x:c>
      <x:c r="I29" s="33" t="str">
        <x:v>GTM-03;GTM-05</x:v>
      </x:c>
    </x:row>
    <x:row r="30" ht="62" customHeight="1">
      <x:c r="A30" s="33" t="str">
        <x:v>PACK-03</x:v>
      </x:c>
      <x:c r="B30" s="33" t="str">
        <x:v>IMG</x:v>
      </x:c>
      <x:c r="C30" s="33" t="str">
        <x:v>Imagem estática</x:v>
      </x:c>
      <x:c r="D30" s="33" t="n">
        <x:v>6</x:v>
      </x:c>
      <x:c r="E30" s="33" t="n">
        <x:v>6</x:v>
      </x:c>
      <x:c r="F30" s="33" t="n">
        <x:f>COUNTIFS('11_Plano_Projeto'!$F$6:$F$216,A30,'11_Plano_Projeto'!$G$6:$G$216,B30,'11_Plano_Projeto'!$H$6:$H$216,"Obrigatório",'11_Plano_Projeto'!$T$6:$T$216,"Confirmada")</x:f>
        <x:v>0</x:v>
      </x:c>
      <x:c r="G30" s="33" t="n">
        <x:f>MAX(0,D30-F30)</x:f>
        <x:v>6</x:v>
      </x:c>
      <x:c r="H30" s="33" t="str">
        <x:v>PNG/JPG; 1080×1350; alternativa 1080×1080</x:v>
      </x:c>
      <x:c r="I30" s="33" t="str">
        <x:v>GTM-03;GTM-05</x:v>
      </x:c>
    </x:row>
    <x:row r="31" ht="62" customHeight="1">
      <x:c r="A31" s="33" t="str">
        <x:v>PACK-03</x:v>
      </x:c>
      <x:c r="B31" s="33" t="str">
        <x:v>INF</x:v>
      </x:c>
      <x:c r="C31" s="33" t="str">
        <x:v>Infográfico</x:v>
      </x:c>
      <x:c r="D31" s="33" t="n">
        <x:v>3</x:v>
      </x:c>
      <x:c r="E31" s="33" t="n">
        <x:v>3</x:v>
      </x:c>
      <x:c r="F31" s="33" t="n">
        <x:f>COUNTIFS('11_Plano_Projeto'!$F$6:$F$216,A31,'11_Plano_Projeto'!$G$6:$G$216,B31,'11_Plano_Projeto'!$H$6:$H$216,"Obrigatório",'11_Plano_Projeto'!$T$6:$T$216,"Confirmada")</x:f>
        <x:v>0</x:v>
      </x:c>
      <x:c r="G31" s="33" t="n">
        <x:f>MAX(0,D31-F31)</x:f>
        <x:v>3</x:v>
      </x:c>
      <x:c r="H31" s="33" t="str">
        <x:v>PNG/SVG; 1920×1080; processo, mapa ou framework</x:v>
      </x:c>
      <x:c r="I31" s="33" t="str">
        <x:v>GTM-03;GTM-05</x:v>
      </x:c>
    </x:row>
    <x:row r="32" ht="62" customHeight="1">
      <x:c r="A32" s="33" t="str">
        <x:v>PACK-03</x:v>
      </x:c>
      <x:c r="B32" s="33" t="str">
        <x:v>STR</x:v>
      </x:c>
      <x:c r="C32" s="33" t="str">
        <x:v>Story</x:v>
      </x:c>
      <x:c r="D32" s="33" t="n">
        <x:v>10</x:v>
      </x:c>
      <x:c r="E32" s="33" t="n">
        <x:v>12</x:v>
      </x:c>
      <x:c r="F32" s="33" t="n">
        <x:f>COUNTIFS('11_Plano_Projeto'!$F$6:$F$216,A32,'11_Plano_Projeto'!$G$6:$G$216,B32,'11_Plano_Projeto'!$H$6:$H$216,"Obrigatório",'11_Plano_Projeto'!$T$6:$T$216,"Confirmada")</x:f>
        <x:v>0</x:v>
      </x:c>
      <x:c r="G32" s="33" t="n">
        <x:f>MAX(0,D32-F32)</x:f>
        <x:v>10</x:v>
      </x:c>
      <x:c r="H32" s="33" t="str">
        <x:v>Imagem/vídeo; 1080×1920; sequência modular</x:v>
      </x:c>
      <x:c r="I32" s="33" t="str">
        <x:v>GTM-03;GTM-05</x:v>
      </x:c>
    </x:row>
    <x:row r="33" ht="62" customHeight="1">
      <x:c r="A33" s="33" t="str">
        <x:v>PACK-03</x:v>
      </x:c>
      <x:c r="B33" s="33" t="str">
        <x:v>NWL</x:v>
      </x:c>
      <x:c r="C33" s="33" t="str">
        <x:v>Newsletter</x:v>
      </x:c>
      <x:c r="D33" s="33" t="n">
        <x:v>3</x:v>
      </x:c>
      <x:c r="E33" s="33" t="n">
        <x:v>3</x:v>
      </x:c>
      <x:c r="F33" s="33" t="n">
        <x:f>COUNTIFS('11_Plano_Projeto'!$F$6:$F$216,A33,'11_Plano_Projeto'!$G$6:$G$216,B33,'11_Plano_Projeto'!$H$6:$H$216,"Obrigatório",'11_Plano_Projeto'!$T$6:$T$216,"Confirmada")</x:f>
        <x:v>0</x:v>
      </x:c>
      <x:c r="G33" s="33" t="n">
        <x:f>MAX(0,D33-F33)</x:f>
        <x:v>3</x:v>
      </x:c>
      <x:c r="H33" s="33" t="str">
        <x:v>HTML responsivo; aprendizado, aplicação e CTA</x:v>
      </x:c>
      <x:c r="I33" s="33" t="str">
        <x:v>GTM-03;GTM-05</x:v>
      </x:c>
    </x:row>
    <x:row r="34" ht="62" customHeight="1">
      <x:c r="A34" s="33" t="str">
        <x:v>PACK-03</x:v>
      </x:c>
      <x:c r="B34" s="33" t="str">
        <x:v>EBK</x:v>
      </x:c>
      <x:c r="C34" s="33" t="str">
        <x:v>Ebook</x:v>
      </x:c>
      <x:c r="D34" s="33" t="n">
        <x:v>3</x:v>
      </x:c>
      <x:c r="E34" s="33" t="n">
        <x:v>3</x:v>
      </x:c>
      <x:c r="F34" s="33" t="n">
        <x:f>COUNTIFS('11_Plano_Projeto'!$F$6:$F$216,A34,'11_Plano_Projeto'!$G$6:$G$216,B34,'11_Plano_Projeto'!$H$6:$H$216,"Obrigatório",'11_Plano_Projeto'!$T$6:$T$216,"Confirmada")</x:f>
        <x:v>0</x:v>
      </x:c>
      <x:c r="G34" s="33" t="n">
        <x:f>MAX(0,D34-F34)</x:f>
        <x:v>3</x:v>
      </x:c>
      <x:c r="H34" s="33" t="str">
        <x:v>PDF A4; framework, exercício/template e CTA</x:v>
      </x:c>
      <x:c r="I34" s="33" t="str">
        <x:v>GTM-03;GTM-05</x:v>
      </x:c>
    </x:row>
    <x:row r="35" ht="62" customHeight="1">
      <x:c r="A35" s="33" t="str">
        <x:v>PACK-03</x:v>
      </x:c>
      <x:c r="B35" s="33" t="str">
        <x:v>CTA</x:v>
      </x:c>
      <x:c r="C35" s="33" t="str">
        <x:v>CTA de ferramenta</x:v>
      </x:c>
      <x:c r="D35" s="33" t="n">
        <x:v>6</x:v>
      </x:c>
      <x:c r="E35" s="33" t="n">
        <x:v>6</x:v>
      </x:c>
      <x:c r="F35" s="33" t="n">
        <x:f>COUNTIFS('11_Plano_Projeto'!$F$6:$F$216,A35,'11_Plano_Projeto'!$G$6:$G$216,B35,'11_Plano_Projeto'!$H$6:$H$216,"Obrigatório",'11_Plano_Projeto'!$T$6:$T$216,"Confirmada")</x:f>
        <x:v>0</x:v>
      </x:c>
      <x:c r="G35" s="33" t="n">
        <x:f>MAX(0,D35-F35)</x:f>
        <x:v>6</x:v>
      </x:c>
      <x:c r="H35" s="33" t="str">
        <x:v>Uma ação principal; benefício, destino e evento mensurável</x:v>
      </x:c>
      <x:c r="I35" s="33" t="str">
        <x:v>GTM-03;GTM-05</x:v>
      </x:c>
    </x:row>
    <x:row r="37">
      <x:c r="C37" t="str">
        <x:v>Total dos três packs</x:v>
      </x:c>
      <x:c r="D37" t="n">
        <x:f>SUM(D6:D35)</x:f>
        <x:v>129</x:v>
      </x:c>
      <x:c r="E37" t="n">
        <x:f>SUM(E6:E35)</x:f>
        <x:v>135</x:v>
      </x:c>
      <x:c r="F37" t="n">
        <x:f>SUM(F6:F35)</x:f>
        <x:v>0</x:v>
      </x:c>
      <x:c r="G37" t="n">
        <x:f>SUM(G6:G35)</x:f>
        <x:v>129</x:v>
      </x:c>
    </x:row>
    <x:row r="40">
      <x:c r="A40" t="str">
        <x:v>Cenário não aprovado</x:v>
      </x:c>
      <x:c r="B40" t="str">
        <x:v>Dias/pack</x:v>
      </x:c>
      <x:c r="C40" t="str">
        <x:v>Packs</x:v>
      </x:c>
      <x:c r="D40" t="str">
        <x:v>Dias em sequência</x:v>
      </x:c>
    </x:row>
    <x:row r="41">
      <x:c r="A41" t="str">
        <x:v>Tabela de ciclo</x:v>
      </x:c>
      <x:c r="B41" t="n">
        <x:v>15</x:v>
      </x:c>
      <x:c r="C41" t="n">
        <x:v>3</x:v>
      </x:c>
      <x:c r="D41" t="n">
        <x:f>B41*C41</x:f>
        <x:v>45</x:v>
      </x:c>
    </x:row>
    <x:row r="42">
      <x:c r="A42" t="str">
        <x:v>Descrição de pack</x:v>
      </x:c>
      <x:c r="B42" t="n">
        <x:v>17</x:v>
      </x:c>
      <x:c r="C42" t="n">
        <x:v>3</x:v>
      </x:c>
      <x:c r="D42" t="n">
        <x:f>B42*C42</x:f>
        <x:v>51</x:v>
      </x:c>
    </x:row>
    <x:row r="43">
      <x:c r="A43" t="str">
        <x:v>Datas de início e término pendentes de DEC-01</x:v>
      </x:c>
      <x:c r="B43"/>
      <x:c r="C43"/>
      <x:c r="D43"/>
    </x:row>
  </x:sheetData>
  <x:pageMargins left="0.7" right="0.7" top="0.75" bottom="0.75" header="0.3" footer="0.3"/>
  <x:tableParts count="1">
    <x:tablePart xmlns:r="http://schemas.openxmlformats.org/officeDocument/2006/relationships" r:id="Ra1af7e3a8d6a4f72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22" hidden="0" customWidth="1"/>
    <x:col min="3" max="3" width="50" hidden="0" customWidth="1"/>
    <x:col min="4" max="4" width="82" hidden="0" customWidth="1"/>
    <x:col min="5" max="5" width="27" hidden="0" customWidth="1"/>
    <x:col min="6" max="6" width="40" hidden="0" customWidth="1"/>
    <x:col min="7" max="7" width="19" hidden="0" customWidth="1"/>
    <x:col min="8" max="8" width="22" hidden="0" customWidth="1"/>
    <x:col min="9" max="9" width="17" hidden="0" customWidth="1"/>
    <x:col min="10" max="10" width="65" hidden="0" customWidth="1"/>
  </x:cols>
  <x:sheetData>
    <x:row r="1">
      <x:c r="A1" s="24"/>
      <x:c r="B1" s="24"/>
      <x:c r="C1" s="24"/>
      <x:c r="D1" s="24"/>
      <x:c r="E1" s="24"/>
      <x:c r="F1" s="24"/>
      <x:c r="G1" s="24"/>
      <x:c r="H1" s="24"/>
      <x:c r="I1" s="24"/>
      <x:c r="J1" s="24"/>
    </x:row>
    <x:row r="2">
      <x:c r="A2" s="26" t="str">
        <x:v>Decisões e lacunas que afetam o plano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  <x:c r="J4" s="24"/>
    </x:row>
    <x:row r="5" ht="32" customHeight="1">
      <x:c r="A5" s="32" t="str">
        <x:v>Decisao_ID</x:v>
      </x:c>
      <x:c r="B5" s="32" t="str">
        <x:v>Tipo</x:v>
      </x:c>
      <x:c r="C5" s="32" t="str">
        <x:v>Questão</x:v>
      </x:c>
      <x:c r="D5" s="32" t="str">
        <x:v>Resolução necessária</x:v>
      </x:c>
      <x:c r="E5" s="32" t="str">
        <x:v>Fonte_ID</x:v>
      </x:c>
      <x:c r="F5" s="32" t="str">
        <x:v>Campos afetados</x:v>
      </x:c>
      <x:c r="G5" s="32" t="str">
        <x:v>Status</x:v>
      </x:c>
      <x:c r="H5" s="32" t="str">
        <x:v>Responsável</x:v>
      </x:c>
      <x:c r="I5" s="32" t="str">
        <x:v>Prazo</x:v>
      </x:c>
      <x:c r="J5" s="32" t="str">
        <x:v>Decisão tomada / evidência</x:v>
      </x:c>
    </x:row>
    <x:row r="6" ht="62" customHeight="1">
      <x:c r="A6" s="33" t="str">
        <x:v>DEC-01</x:v>
      </x:c>
      <x:c r="B6" s="33" t="str">
        <x:v>Conflito</x:v>
      </x:c>
      <x:c r="C6" s="33" t="str">
        <x:v>15 dias/ciclo versus 17 dias/pack</x:v>
      </x:c>
      <x:c r="D6" s="33" t="str">
        <x:v>Definir duração e calendário. 45 e 51 dias são apenas cenários para três packs sequenciais.</x:v>
      </x:c>
      <x:c r="E6" s="33" t="str">
        <x:v>GTM-03</x:v>
      </x:c>
      <x:c r="F6" s="33" t="str">
        <x:v>8.4;10.1;10.4</x:v>
      </x:c>
      <x:c r="G6" s="34" t="str">
        <x:v>Pendente</x:v>
      </x:c>
      <x:c r="H6" s="34" t="str">
        <x:v>A definir</x:v>
      </x:c>
      <x:c r="I6" s="35"/>
      <x:c r="J6" s="34"/>
    </x:row>
    <x:row r="7" ht="62" customHeight="1">
      <x:c r="A7" s="33" t="str">
        <x:v>DEC-02</x:v>
      </x:c>
      <x:c r="B7" s="33" t="str">
        <x:v>Conflito</x:v>
      </x:c>
      <x:c r="C7" s="33" t="str">
        <x:v>Códigos F5, F6 e F7 usados para conteúdos diferentes</x:v>
      </x:c>
      <x:c r="D7" s="33" t="str">
        <x:v>Aprovar mapa de equivalência. F5: CMS/schema; F6: pipeline/Quick Frameworks; F7: capacidades/entrypoints. F8 só consta na ficha.</x:v>
      </x:c>
      <x:c r="E7" s="33" t="str">
        <x:v>GTM-01;GTM-09;GTM-10</x:v>
      </x:c>
      <x:c r="F7" s="33" t="str">
        <x:v>2.5;4.1</x:v>
      </x:c>
      <x:c r="G7" s="34" t="str">
        <x:v>Pendente</x:v>
      </x:c>
      <x:c r="H7" s="34" t="str">
        <x:v>A definir</x:v>
      </x:c>
      <x:c r="I7" s="35"/>
      <x:c r="J7" s="34"/>
    </x:row>
    <x:row r="8" ht="62" customHeight="1">
      <x:c r="A8" s="33" t="str">
        <x:v>DEC-03</x:v>
      </x:c>
      <x:c r="B8" s="33" t="str">
        <x:v>Lacuna</x:v>
      </x:c>
      <x:c r="C8" s="33" t="str">
        <x:v>Pessoas, datas e orçamento ausentes</x:v>
      </x:c>
      <x:c r="D8" s="33" t="str">
        <x:v>Designar sponsor, responsáveis, aprovadores, início e orçamento.</x:v>
      </x:c>
      <x:c r="E8" s="33" t="str">
        <x:v>GTM-01</x:v>
      </x:c>
      <x:c r="F8" s="33" t="str">
        <x:v>8.2;13.2;16.3;1.7;1.11</x:v>
      </x:c>
      <x:c r="G8" s="34" t="str">
        <x:v>Pendente</x:v>
      </x:c>
      <x:c r="H8" s="34" t="str">
        <x:v>A definir</x:v>
      </x:c>
      <x:c r="I8" s="35"/>
      <x:c r="J8" s="34"/>
    </x:row>
    <x:row r="9" ht="62" customHeight="1">
      <x:c r="A9" s="33" t="str">
        <x:v>DEC-04</x:v>
      </x:c>
      <x:c r="B9" s="33" t="str">
        <x:v>Lacuna</x:v>
      </x:c>
      <x:c r="C9" s="33" t="str">
        <x:v>Metas de resultado e North Star não definidas</x:v>
      </x:c>
      <x:c r="D9" s="33" t="str">
        <x:v>Aprovar definição, unidade, denominador, período e meta de cada KPI.</x:v>
      </x:c>
      <x:c r="E9" s="33" t="str">
        <x:v>GTM-01;GTM-17</x:v>
      </x:c>
      <x:c r="F9" s="33" t="str">
        <x:v>1.5;1.6;8.3</x:v>
      </x:c>
      <x:c r="G9" s="34" t="str">
        <x:v>Pendente</x:v>
      </x:c>
      <x:c r="H9" s="34" t="str">
        <x:v>A definir</x:v>
      </x:c>
      <x:c r="I9" s="35"/>
      <x:c r="J9" s="34"/>
    </x:row>
    <x:row r="10" ht="62" customHeight="1">
      <x:c r="A10" s="33" t="str">
        <x:v>DEC-05</x:v>
      </x:c>
      <x:c r="B10" s="33" t="str">
        <x:v>Referência ausente</x:v>
      </x:c>
      <x:c r="C10" s="33" t="str">
        <x:v>Corpus, YAML Bundle, BPM e runbooks não anexados</x:v>
      </x:c>
      <x:c r="D10" s="33" t="str">
        <x:v>Obter documentos e versões antes de tratar detalhes não transcritos como confirmados.</x:v>
      </x:c>
      <x:c r="E10" s="33" t="str">
        <x:v>GTM-01;GTM-02;GTM-03</x:v>
      </x:c>
      <x:c r="F10" s="33" t="str">
        <x:v>7.1;13.3;14.1</x:v>
      </x:c>
      <x:c r="G10" s="34" t="str">
        <x:v>Pendente</x:v>
      </x:c>
      <x:c r="H10" s="34" t="str">
        <x:v>A definir</x:v>
      </x:c>
      <x:c r="I10" s="35"/>
      <x:c r="J10" s="34"/>
    </x:row>
    <x:row r="11" ht="62" customHeight="1">
      <x:c r="A11" s="33" t="str">
        <x:v>DEC-06</x:v>
      </x:c>
      <x:c r="B11" s="33" t="str">
        <x:v>Proposta</x:v>
      </x:c>
      <x:c r="C11" s="33" t="str">
        <x:v>Unified Object Schema v2 não está aprovado</x:v>
      </x:c>
      <x:c r="D11" s="33" t="str">
        <x:v>Validar RC-UGS-001 e compatibilidade LEGACY_18; JSON anexado modela formulário, não o produto.</x:v>
      </x:c>
      <x:c r="E11" s="33" t="str">
        <x:v>GTM-09;GTM-13</x:v>
      </x:c>
      <x:c r="F11" s="33" t="str">
        <x:v>3.8;4.1</x:v>
      </x:c>
      <x:c r="G11" s="34" t="str">
        <x:v>Pendente</x:v>
      </x:c>
      <x:c r="H11" s="34" t="str">
        <x:v>A definir</x:v>
      </x:c>
      <x:c r="I11" s="35"/>
      <x:c r="J11" s="34"/>
    </x:row>
    <x:row r="12" ht="62" customHeight="1">
      <x:c r="A12" s="33" t="str">
        <x:v>DEC-07</x:v>
      </x:c>
      <x:c r="B12" s="33" t="str">
        <x:v>Lacuna</x:v>
      </x:c>
      <x:c r="C12" s="33" t="str">
        <x:v>MVP e canais prioritários não fechados</x:v>
      </x:c>
      <x:c r="D12" s="33" t="str">
        <x:v>Aprovar corte de escopo e canais. Matriz de canais não implica publicar em todos.</x:v>
      </x:c>
      <x:c r="E12" s="33" t="str">
        <x:v>GTM-01;GTM-04</x:v>
      </x:c>
      <x:c r="F12" s="33" t="str">
        <x:v>2.4;1.4</x:v>
      </x:c>
      <x:c r="G12" s="34" t="str">
        <x:v>Pendente</x:v>
      </x:c>
      <x:c r="H12" s="34" t="str">
        <x:v>A definir</x:v>
      </x:c>
      <x:c r="I12" s="35"/>
      <x:c r="J12" s="34"/>
    </x:row>
    <x:row r="13" ht="62" customHeight="1">
      <x:c r="A13" s="33" t="str">
        <x:v>DEC-08</x:v>
      </x:c>
      <x:c r="B13" s="33" t="str">
        <x:v>Lacuna</x:v>
      </x:c>
      <x:c r="C13" s="33" t="str">
        <x:v>Stack, hosting, identidade e APIs incompletos</x:v>
      </x:c>
      <x:c r="D13" s="33" t="str">
        <x:v>Definir tecnologias, contratos, permissões e rotas técnicas.</x:v>
      </x:c>
      <x:c r="E13" s="33" t="str">
        <x:v>GTM-02;GTM-10</x:v>
      </x:c>
      <x:c r="F13" s="33" t="str">
        <x:v>3.1;3.2;3.3;3.4;3.5;4.2</x:v>
      </x:c>
      <x:c r="G13" s="34" t="str">
        <x:v>Pendente</x:v>
      </x:c>
      <x:c r="H13" s="34" t="str">
        <x:v>A definir</x:v>
      </x:c>
      <x:c r="I13" s="35"/>
      <x:c r="J13" s="34"/>
    </x:row>
    <x:row r="14" ht="62" customHeight="1">
      <x:c r="A14" s="33" t="str">
        <x:v>DEC-09</x:v>
      </x:c>
      <x:c r="B14" s="33" t="str">
        <x:v>Status não comprovado</x:v>
      </x:c>
      <x:c r="C14" s="33" t="str">
        <x:v>Oito Quick Frameworks candidatos, sem lista nominal</x:v>
      </x:c>
      <x:c r="D14" s="33" t="str">
        <x:v>Obter catálogo e evidências; não marcar como publicados.</x:v>
      </x:c>
      <x:c r="E14" s="33" t="str">
        <x:v>GTM-14;GTM-15</x:v>
      </x:c>
      <x:c r="F14" s="33" t="str">
        <x:v>15.3;17.3</x:v>
      </x:c>
      <x:c r="G14" s="34" t="str">
        <x:v>Pendente</x:v>
      </x:c>
      <x:c r="H14" s="34" t="str">
        <x:v>A definir</x:v>
      </x:c>
      <x:c r="I14" s="35"/>
      <x:c r="J14" s="34"/>
    </x:row>
    <x:row r="15" ht="62" customHeight="1">
      <x:c r="A15" s="33" t="str">
        <x:v>DEC-10</x:v>
      </x:c>
      <x:c r="B15" s="33" t="str">
        <x:v>Lacuna</x:v>
      </x:c>
      <x:c r="C15" s="33" t="str">
        <x:v>Mapeamento dos três packs para pilares e consciência</x:v>
      </x:c>
      <x:c r="D15" s="33" t="str">
        <x:v>Confirmar temas e níveis. Não assumir um pack por pilar.</x:v>
      </x:c>
      <x:c r="E15" s="33" t="str">
        <x:v>GTM-01;GTM-02;GTM-03</x:v>
      </x:c>
      <x:c r="F15" s="33" t="str">
        <x:v>11.1;11.4</x:v>
      </x:c>
      <x:c r="G15" s="34" t="str">
        <x:v>Pendente</x:v>
      </x:c>
      <x:c r="H15" s="34" t="str">
        <x:v>A definir</x:v>
      </x:c>
      <x:c r="I15" s="35"/>
      <x:c r="J15" s="34"/>
    </x:row>
    <x:row r="16" ht="62" customHeight="1">
      <x:c r="A16" s="33" t="str">
        <x:v>DEC-11</x:v>
      </x:c>
      <x:c r="B16" s="33" t="str">
        <x:v>Lacuna</x:v>
      </x:c>
      <x:c r="C16" s="33" t="str">
        <x:v>Limites de agentes e conexão dos entrypoints</x:v>
      </x:c>
      <x:c r="D16" s="33" t="str">
        <x:v>Validar capacidades, permissões e conexão de ActiveCampaign, Notion, Prisma e distribuição.</x:v>
      </x:c>
      <x:c r="E16" s="33" t="str">
        <x:v>GTM-07;GTM-10;GTM-16</x:v>
      </x:c>
      <x:c r="F16" s="33" t="str">
        <x:v>6.6;15.2</x:v>
      </x:c>
      <x:c r="G16" s="34" t="str">
        <x:v>Pendente</x:v>
      </x:c>
      <x:c r="H16" s="34" t="str">
        <x:v>A definir</x:v>
      </x:c>
      <x:c r="I16" s="35"/>
      <x:c r="J16" s="34"/>
    </x:row>
    <x:row r="17" ht="62" customHeight="1">
      <x:c r="A17" s="33" t="str">
        <x:v>DEC-12</x:v>
      </x:c>
      <x:c r="B17" s="33" t="str">
        <x:v>Lacuna</x:v>
      </x:c>
      <x:c r="C17" s="33" t="str">
        <x:v>Custos, segurança, rollback e SLAs não definidos</x:v>
      </x:c>
      <x:c r="D17" s="33" t="str">
        <x:v>Detalhar antes de operar produção. Sem inferir valores ou controles implementados.</x:v>
      </x:c>
      <x:c r="E17" s="33" t="str">
        <x:v>GTM-01;GTM-02</x:v>
      </x:c>
      <x:c r="F17" s="33" t="str">
        <x:v>1.7;1.8;1.9;1.10;1.11;1.12;4.6;5.1;5.2;5.3;5.4;5.5;5.6;6.1;6.3;6.4</x:v>
      </x:c>
      <x:c r="G17" s="34" t="str">
        <x:v>Pendente</x:v>
      </x:c>
      <x:c r="H17" s="34" t="str">
        <x:v>A definir</x:v>
      </x:c>
      <x:c r="I17" s="35"/>
      <x:c r="J17" s="34"/>
    </x:row>
  </x:sheetData>
  <x:dataValidations count="1">
    <x:dataValidation type="list" sqref="G6:G17">
      <x:formula1>"Pendente,Em análise,Resolvida"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9de52a7b054ebc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42" hidden="0" customWidth="1"/>
    <x:col min="3" max="3" width="35" hidden="0" customWidth="1"/>
    <x:col min="4" max="4" width="20" hidden="0" customWidth="1"/>
    <x:col min="5" max="5" width="24" hidden="0" customWidth="1"/>
    <x:col min="6" max="6" width="30" hidden="0" customWidth="1"/>
    <x:col min="7" max="7" width="58" hidden="0" customWidth="1"/>
    <x:col min="8" max="8" width="24" hidden="0" customWidth="1"/>
    <x:col min="9" max="9" width="70" hidden="0" customWidth="1"/>
  </x:cols>
  <x:sheetData>
    <x:row r="1">
      <x:c r="A1" s="24"/>
      <x:c r="B1" s="24"/>
      <x:c r="C1" s="24"/>
      <x:c r="D1" s="24"/>
      <x:c r="E1" s="24"/>
      <x:c r="F1" s="24"/>
      <x:c r="G1" s="24"/>
      <x:c r="H1" s="24"/>
      <x:c r="I1" s="24"/>
    </x:row>
    <x:row r="2">
      <x:c r="A2" s="26" t="str">
        <x:v>Mapa dos 94 campos canônicos</x:v>
      </x:c>
      <x:c r="B2" s="24"/>
      <x:c r="C2" s="24"/>
      <x:c r="D2" s="24"/>
      <x:c r="E2" s="24"/>
      <x:c r="F2" s="24"/>
      <x:c r="G2" s="24"/>
      <x:c r="H2" s="24"/>
      <x:c r="I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</x:row>
    <x:row r="5" ht="32" customHeight="1">
      <x:c r="A5" s="32" t="str">
        <x:v>Campo_ID</x:v>
      </x:c>
      <x:c r="B5" s="32" t="str">
        <x:v>Campo</x:v>
      </x:c>
      <x:c r="C5" s="32" t="str">
        <x:v>Domínio</x:v>
      </x:c>
      <x:c r="D5" s="32" t="str">
        <x:v>Célula de resposta</x:v>
      </x:c>
      <x:c r="E5" s="32" t="str">
        <x:v>Qualificação</x:v>
      </x:c>
      <x:c r="F5" s="32" t="str">
        <x:v>Fonte_ID</x:v>
      </x:c>
      <x:c r="G5" s="32" t="str">
        <x:v>Tratamento</x:v>
      </x:c>
      <x:c r="H5" s="32" t="str">
        <x:v>Decisao_ID</x:v>
      </x:c>
      <x:c r="I5" s="32" t="str">
        <x:v>Tarefa_IDs</x:v>
      </x:c>
    </x:row>
    <x:row r="6" ht="62" customHeight="1">
      <x:c r="A6" s="33" t="str">
        <x:v>1.1</x:v>
      </x:c>
      <x:c r="B6" s="33" t="str">
        <x:v>Problema central</x:v>
      </x:c>
      <x:c r="C6" s="33" t="str">
        <x:v>NEGÓCIO &amp; GTM</x:v>
      </x:c>
      <x:c r="D6" s="33" t="str">
        <x:v>E8</x:v>
      </x:c>
      <x:c r="E6" s="33" t="str">
        <x:v>Documentado</x:v>
      </x:c>
      <x:c r="F6" s="33" t="str">
        <x:v>GTM-01</x:v>
      </x:c>
      <x:c r="G6" s="33" t="str">
        <x:v>Síntese do GTM; propostas sinalizadas no texto.</x:v>
      </x:c>
      <x:c r="H6" s="33" t="str"/>
      <x:c r="I6" s="33" t="str"/>
    </x:row>
    <x:row r="7" ht="62" customHeight="1">
      <x:c r="A7" s="33" t="str">
        <x:v>1.2</x:v>
      </x:c>
      <x:c r="B7" s="33" t="str">
        <x:v>Público-alvo / ICP</x:v>
      </x:c>
      <x:c r="C7" s="33" t="str">
        <x:v>NEGÓCIO &amp; GTM</x:v>
      </x:c>
      <x:c r="D7" s="33" t="str">
        <x:v>E9</x:v>
      </x:c>
      <x:c r="E7" s="33" t="str">
        <x:v>Documentado</x:v>
      </x:c>
      <x:c r="F7" s="33" t="str">
        <x:v>GTM-01</x:v>
      </x:c>
      <x:c r="G7" s="33" t="str">
        <x:v>Síntese do GTM; propostas sinalizadas no texto.</x:v>
      </x:c>
      <x:c r="H7" s="33" t="str"/>
      <x:c r="I7" s="33" t="str"/>
    </x:row>
    <x:row r="8" ht="62" customHeight="1">
      <x:c r="A8" s="33" t="str">
        <x:v>1.3</x:v>
      </x:c>
      <x:c r="B8" s="33" t="str">
        <x:v>Proposta de valor</x:v>
      </x:c>
      <x:c r="C8" s="33" t="str">
        <x:v>NEGÓCIO &amp; GTM</x:v>
      </x:c>
      <x:c r="D8" s="33" t="str">
        <x:v>E10</x:v>
      </x:c>
      <x:c r="E8" s="33" t="str">
        <x:v>Documentado</x:v>
      </x:c>
      <x:c r="F8" s="33" t="str">
        <x:v>GTM-01</x:v>
      </x:c>
      <x:c r="G8" s="33" t="str">
        <x:v>Síntese do GTM; propostas sinalizadas no texto.</x:v>
      </x:c>
      <x:c r="H8" s="33" t="str"/>
      <x:c r="I8" s="33" t="str"/>
    </x:row>
    <x:row r="9" ht="62" customHeight="1">
      <x:c r="A9" s="33" t="str">
        <x:v>1.4</x:v>
      </x:c>
      <x:c r="B9" s="33" t="str">
        <x:v>Canais de aquisição</x:v>
      </x:c>
      <x:c r="C9" s="33" t="str">
        <x:v>NEGÓCIO &amp; GTM</x:v>
      </x:c>
      <x:c r="D9" s="33" t="str">
        <x:v>E11</x:v>
      </x:c>
      <x:c r="E9" s="33" t="str">
        <x:v>Documentado</x:v>
      </x:c>
      <x:c r="F9" s="33" t="str">
        <x:v>GTM-04</x:v>
      </x:c>
      <x:c r="G9" s="33" t="str">
        <x:v>Síntese do GTM; propostas sinalizadas no texto.</x:v>
      </x:c>
      <x:c r="H9" s="33" t="str">
        <x:v>DEC-07</x:v>
      </x:c>
      <x:c r="I9" s="33" t="str">
        <x:v>BLOG-06;DST-01;PACK-01-DIST;PACK-02-DIST;PACK-03-DIST</x:v>
      </x:c>
    </x:row>
    <x:row r="10" ht="62" customHeight="1">
      <x:c r="A10" s="33" t="str">
        <x:v>1.5</x:v>
      </x:c>
      <x:c r="B10" s="33" t="str">
        <x:v>Métrica North Star</x:v>
      </x:c>
      <x:c r="C10" s="33" t="str">
        <x:v>NEGÓCIO &amp; GTM</x:v>
      </x:c>
      <x:c r="D10" s="33" t="str">
        <x:v>E12</x:v>
      </x:c>
      <x:c r="E10" s="33" t="str">
        <x:v>Parcial / a validar</x:v>
      </x:c>
      <x:c r="F10" s="33" t="str">
        <x:v>GTM-01</x:v>
      </x:c>
      <x:c r="G10" s="33" t="str">
        <x:v>Síntese do GTM; propostas sinalizadas no texto.</x:v>
      </x:c>
      <x:c r="H10" s="33" t="str">
        <x:v>DEC-04</x:v>
      </x:c>
      <x:c r="I10" s="33" t="str">
        <x:v>DST-02;DST-06</x:v>
      </x:c>
    </x:row>
    <x:row r="11" ht="62" customHeight="1">
      <x:c r="A11" s="33" t="str">
        <x:v>1.6</x:v>
      </x:c>
      <x:c r="B11" s="33" t="str">
        <x:v>Métricas guardrail</x:v>
      </x:c>
      <x:c r="C11" s="33" t="str">
        <x:v>NEGÓCIO &amp; GTM</x:v>
      </x:c>
      <x:c r="D11" s="33" t="str">
        <x:v>E13</x:v>
      </x:c>
      <x:c r="E11" s="33" t="str">
        <x:v>Parcial / a validar</x:v>
      </x:c>
      <x:c r="F11" s="33" t="str">
        <x:v>GTM-01</x:v>
      </x:c>
      <x:c r="G11" s="33" t="str">
        <x:v>Síntese do GTM; propostas sinalizadas no texto.</x:v>
      </x:c>
      <x:c r="H11" s="33" t="str">
        <x:v>DEC-04</x:v>
      </x:c>
      <x:c r="I11" s="33" t="str">
        <x:v>GOV-08;DST-02</x:v>
      </x:c>
    </x:row>
    <x:row r="12" ht="62" customHeight="1">
      <x:c r="A12" s="33" t="str">
        <x:v>1.7</x:v>
      </x:c>
      <x:c r="B12" s="33" t="str">
        <x:v>CAC (custo de aquisição)</x:v>
      </x:c>
      <x:c r="C12" s="33" t="str">
        <x:v>NEGÓCIO &amp; GTM</x:v>
      </x:c>
      <x:c r="D12" s="33" t="str">
        <x:v>E14</x:v>
      </x:c>
      <x:c r="E12" s="33" t="str">
        <x:v>Não informado</x:v>
      </x:c>
      <x:c r="F12" s="33" t="str">
        <x:v>GTM-01;GTM-02</x:v>
      </x:c>
      <x:c r="G12" s="33" t="str">
        <x:v>Ausência na fonte; não inferir valor.</x:v>
      </x:c>
      <x:c r="H12" s="33" t="str">
        <x:v>DEC-03;DEC-12</x:v>
      </x:c>
      <x:c r="I12" s="33" t="str">
        <x:v>GOV-07</x:v>
      </x:c>
    </x:row>
    <x:row r="13" ht="62" customHeight="1">
      <x:c r="A13" s="33" t="str">
        <x:v>1.8</x:v>
      </x:c>
      <x:c r="B13" s="33" t="str">
        <x:v>LTV (valor do tempo de vida)</x:v>
      </x:c>
      <x:c r="C13" s="33" t="str">
        <x:v>NEGÓCIO &amp; GTM</x:v>
      </x:c>
      <x:c r="D13" s="33" t="str">
        <x:v>E15</x:v>
      </x:c>
      <x:c r="E13" s="33" t="str">
        <x:v>Não informado</x:v>
      </x:c>
      <x:c r="F13" s="33" t="str">
        <x:v>GTM-01;GTM-02</x:v>
      </x:c>
      <x:c r="G13" s="33" t="str">
        <x:v>Ausência na fonte; não inferir valor.</x:v>
      </x:c>
      <x:c r="H13" s="33" t="str">
        <x:v>DEC-12</x:v>
      </x:c>
      <x:c r="I13" s="33" t="str">
        <x:v>GOV-07</x:v>
      </x:c>
    </x:row>
    <x:row r="14" ht="62" customHeight="1">
      <x:c r="A14" s="33" t="str">
        <x:v>1.9</x:v>
      </x:c>
      <x:c r="B14" s="33" t="str">
        <x:v>Margem por unidade/usuário</x:v>
      </x:c>
      <x:c r="C14" s="33" t="str">
        <x:v>NEGÓCIO &amp; GTM</x:v>
      </x:c>
      <x:c r="D14" s="33" t="str">
        <x:v>E16</x:v>
      </x:c>
      <x:c r="E14" s="33" t="str">
        <x:v>Não informado</x:v>
      </x:c>
      <x:c r="F14" s="33" t="str">
        <x:v>GTM-01;GTM-02</x:v>
      </x:c>
      <x:c r="G14" s="33" t="str">
        <x:v>Ausência na fonte; não inferir valor.</x:v>
      </x:c>
      <x:c r="H14" s="33" t="str">
        <x:v>DEC-12</x:v>
      </x:c>
      <x:c r="I14" s="33" t="str">
        <x:v>GOV-07</x:v>
      </x:c>
    </x:row>
    <x:row r="15" ht="62" customHeight="1">
      <x:c r="A15" s="33" t="str">
        <x:v>1.10</x:v>
      </x:c>
      <x:c r="B15" s="33" t="str">
        <x:v>Ponto de equilíbrio (breakeven)</x:v>
      </x:c>
      <x:c r="C15" s="33" t="str">
        <x:v>NEGÓCIO &amp; GTM</x:v>
      </x:c>
      <x:c r="D15" s="33" t="str">
        <x:v>E17</x:v>
      </x:c>
      <x:c r="E15" s="33" t="str">
        <x:v>Não informado</x:v>
      </x:c>
      <x:c r="F15" s="33" t="str">
        <x:v>GTM-01;GTM-02</x:v>
      </x:c>
      <x:c r="G15" s="33" t="str">
        <x:v>Ausência na fonte; não inferir valor.</x:v>
      </x:c>
      <x:c r="H15" s="33" t="str">
        <x:v>DEC-12</x:v>
      </x:c>
      <x:c r="I15" s="33" t="str">
        <x:v>GOV-07</x:v>
      </x:c>
    </x:row>
    <x:row r="16" ht="62" customHeight="1">
      <x:c r="A16" s="33" t="str">
        <x:v>1.11</x:v>
      </x:c>
      <x:c r="B16" s="33" t="str">
        <x:v>Teto de gasto de infraestrutura</x:v>
      </x:c>
      <x:c r="C16" s="33" t="str">
        <x:v>NEGÓCIO &amp; GTM</x:v>
      </x:c>
      <x:c r="D16" s="33" t="str">
        <x:v>E18</x:v>
      </x:c>
      <x:c r="E16" s="33" t="str">
        <x:v>Não informado</x:v>
      </x:c>
      <x:c r="F16" s="33" t="str">
        <x:v>GTM-01;GTM-02</x:v>
      </x:c>
      <x:c r="G16" s="33" t="str">
        <x:v>Ausência na fonte; não inferir valor.</x:v>
      </x:c>
      <x:c r="H16" s="33" t="str">
        <x:v>DEC-03;DEC-12</x:v>
      </x:c>
      <x:c r="I16" s="33" t="str">
        <x:v>GOV-07</x:v>
      </x:c>
    </x:row>
    <x:row r="17" ht="62" customHeight="1">
      <x:c r="A17" s="33" t="str">
        <x:v>1.12</x:v>
      </x:c>
      <x:c r="B17" s="33" t="str">
        <x:v>Gatilhos de upgrade de infra</x:v>
      </x:c>
      <x:c r="C17" s="33" t="str">
        <x:v>NEGÓCIO &amp; GTM</x:v>
      </x:c>
      <x:c r="D17" s="33" t="str">
        <x:v>E19</x:v>
      </x:c>
      <x:c r="E17" s="33" t="str">
        <x:v>Não informado</x:v>
      </x:c>
      <x:c r="F17" s="33" t="str">
        <x:v>GTM-01;GTM-02</x:v>
      </x:c>
      <x:c r="G17" s="33" t="str">
        <x:v>Ausência na fonte; não inferir valor.</x:v>
      </x:c>
      <x:c r="H17" s="33" t="str">
        <x:v>DEC-12</x:v>
      </x:c>
      <x:c r="I17" s="33" t="str">
        <x:v>GOV-07</x:v>
      </x:c>
    </x:row>
    <x:row r="18" ht="62" customHeight="1">
      <x:c r="A18" s="33" t="str">
        <x:v>2.1</x:v>
      </x:c>
      <x:c r="B18" s="33" t="str">
        <x:v>Nome do produto/feature</x:v>
      </x:c>
      <x:c r="C18" s="33" t="str">
        <x:v>PRODUTO</x:v>
      </x:c>
      <x:c r="D18" s="33" t="str">
        <x:v>E23</x:v>
      </x:c>
      <x:c r="E18" s="33" t="str">
        <x:v>Documentado</x:v>
      </x:c>
      <x:c r="F18" s="33" t="str">
        <x:v>GTM-01</x:v>
      </x:c>
      <x:c r="G18" s="33" t="str">
        <x:v>Síntese do GTM; propostas sinalizadas no texto.</x:v>
      </x:c>
      <x:c r="H18" s="33" t="str"/>
      <x:c r="I18" s="33" t="str"/>
    </x:row>
    <x:row r="19" ht="62" customHeight="1">
      <x:c r="A19" s="33" t="str">
        <x:v>2.2</x:v>
      </x:c>
      <x:c r="B19" s="33" t="str">
        <x:v>Contexto do PRD</x:v>
      </x:c>
      <x:c r="C19" s="33" t="str">
        <x:v>PRODUTO</x:v>
      </x:c>
      <x:c r="D19" s="33" t="str">
        <x:v>E24</x:v>
      </x:c>
      <x:c r="E19" s="33" t="str">
        <x:v>Documentado</x:v>
      </x:c>
      <x:c r="F19" s="33" t="str">
        <x:v>GTM-01</x:v>
      </x:c>
      <x:c r="G19" s="33" t="str">
        <x:v>Síntese do GTM; propostas sinalizadas no texto.</x:v>
      </x:c>
      <x:c r="H19" s="33" t="str"/>
      <x:c r="I19" s="33" t="str"/>
    </x:row>
    <x:row r="20" ht="62" customHeight="1">
      <x:c r="A20" s="33" t="str">
        <x:v>2.3</x:v>
      </x:c>
      <x:c r="B20" s="33" t="str">
        <x:v>Objetivos (goals)</x:v>
      </x:c>
      <x:c r="C20" s="33" t="str">
        <x:v>PRODUTO</x:v>
      </x:c>
      <x:c r="D20" s="33" t="str">
        <x:v>E25</x:v>
      </x:c>
      <x:c r="E20" s="33" t="str">
        <x:v>Documentado</x:v>
      </x:c>
      <x:c r="F20" s="33" t="str">
        <x:v>GTM-01</x:v>
      </x:c>
      <x:c r="G20" s="33" t="str">
        <x:v>Síntese do GTM; propostas sinalizadas no texto.</x:v>
      </x:c>
      <x:c r="H20" s="33" t="str"/>
      <x:c r="I20" s="33" t="str">
        <x:v>GOV-01</x:v>
      </x:c>
    </x:row>
    <x:row r="21" ht="62" customHeight="1">
      <x:c r="A21" s="33" t="str">
        <x:v>2.4</x:v>
      </x:c>
      <x:c r="B21" s="33" t="str">
        <x:v>Não-objetivos (non-goals)</x:v>
      </x:c>
      <x:c r="C21" s="33" t="str">
        <x:v>PRODUTO</x:v>
      </x:c>
      <x:c r="D21" s="33" t="str">
        <x:v>E26</x:v>
      </x:c>
      <x:c r="E21" s="33" t="str">
        <x:v>Parcial / a validar</x:v>
      </x:c>
      <x:c r="F21" s="33" t="str">
        <x:v>GTM-16</x:v>
      </x:c>
      <x:c r="G21" s="33" t="str">
        <x:v>Síntese do GTM; propostas sinalizadas no texto.</x:v>
      </x:c>
      <x:c r="H21" s="33" t="str">
        <x:v>DEC-07</x:v>
      </x:c>
      <x:c r="I21" s="33" t="str">
        <x:v>GOV-01</x:v>
      </x:c>
    </x:row>
    <x:row r="22" ht="62" customHeight="1">
      <x:c r="A22" s="33" t="str">
        <x:v>2.5</x:v>
      </x:c>
      <x:c r="B22" s="33" t="str">
        <x:v>Requisitos funcionais (FRD)</x:v>
      </x:c>
      <x:c r="C22" s="33" t="str">
        <x:v>PRODUTO</x:v>
      </x:c>
      <x:c r="D22" s="33" t="str">
        <x:v>E27</x:v>
      </x:c>
      <x:c r="E22" s="33" t="str">
        <x:v>Documentado</x:v>
      </x:c>
      <x:c r="F22" s="33" t="str">
        <x:v>GTM-01;GTM-09</x:v>
      </x:c>
      <x:c r="G22" s="33" t="str">
        <x:v>Síntese do GTM; propostas sinalizadas no texto.</x:v>
      </x:c>
      <x:c r="H22" s="33" t="str">
        <x:v>DEC-02</x:v>
      </x:c>
      <x:c r="I22" s="33" t="str">
        <x:v>GOV-04;STO-01;STO-05;STO-09;MAP-01</x:v>
      </x:c>
    </x:row>
    <x:row r="23" ht="62" customHeight="1">
      <x:c r="A23" s="33" t="str">
        <x:v>2.6</x:v>
      </x:c>
      <x:c r="B23" s="33" t="str">
        <x:v>Critérios de aceite</x:v>
      </x:c>
      <x:c r="C23" s="33" t="str">
        <x:v>PRODUTO</x:v>
      </x:c>
      <x:c r="D23" s="33" t="str">
        <x:v>E28</x:v>
      </x:c>
      <x:c r="E23" s="33" t="str">
        <x:v>Documentado</x:v>
      </x:c>
      <x:c r="F23" s="33" t="str">
        <x:v>GTM-11;GTM-15</x:v>
      </x:c>
      <x:c r="G23" s="33" t="str">
        <x:v>Síntese do GTM; propostas sinalizadas no texto.</x:v>
      </x:c>
      <x:c r="H23" s="33" t="str"/>
      <x:c r="I23" s="33" t="str">
        <x:v>Filtrar Campos canônicos em 11_Plano_Projeto por 2.6 (142 tarefas).</x:v>
      </x:c>
    </x:row>
    <x:row r="24" ht="62" customHeight="1">
      <x:c r="A24" s="33" t="str">
        <x:v>2.7</x:v>
      </x:c>
      <x:c r="B24" s="33" t="str">
        <x:v>Persona principal</x:v>
      </x:c>
      <x:c r="C24" s="33" t="str">
        <x:v>PRODUTO</x:v>
      </x:c>
      <x:c r="D24" s="33" t="str">
        <x:v>E29</x:v>
      </x:c>
      <x:c r="E24" s="33" t="str">
        <x:v>Documentado</x:v>
      </x:c>
      <x:c r="F24" s="33" t="str">
        <x:v>GTM-01</x:v>
      </x:c>
      <x:c r="G24" s="33" t="str">
        <x:v>Síntese do GTM; propostas sinalizadas no texto.</x:v>
      </x:c>
      <x:c r="H24" s="33" t="str"/>
      <x:c r="I24" s="33" t="str"/>
    </x:row>
    <x:row r="25" ht="62" customHeight="1">
      <x:c r="A25" s="33" t="str">
        <x:v>2.8</x:v>
      </x:c>
      <x:c r="B25" s="33" t="str">
        <x:v>Jornada — Descoberta</x:v>
      </x:c>
      <x:c r="C25" s="33" t="str">
        <x:v>PRODUTO</x:v>
      </x:c>
      <x:c r="D25" s="33" t="str">
        <x:v>E30</x:v>
      </x:c>
      <x:c r="E25" s="33" t="str">
        <x:v>Documentado</x:v>
      </x:c>
      <x:c r="F25" s="33" t="str">
        <x:v>GTM-04</x:v>
      </x:c>
      <x:c r="G25" s="33" t="str">
        <x:v>Síntese do GTM; propostas sinalizadas no texto.</x:v>
      </x:c>
      <x:c r="H25" s="33" t="str"/>
      <x:c r="I25" s="33" t="str"/>
    </x:row>
    <x:row r="26" ht="62" customHeight="1">
      <x:c r="A26" s="33" t="str">
        <x:v>2.9</x:v>
      </x:c>
      <x:c r="B26" s="33" t="str">
        <x:v>Jornada — Ativação</x:v>
      </x:c>
      <x:c r="C26" s="33" t="str">
        <x:v>PRODUTO</x:v>
      </x:c>
      <x:c r="D26" s="33" t="str">
        <x:v>E31</x:v>
      </x:c>
      <x:c r="E26" s="33" t="str">
        <x:v>Documentado</x:v>
      </x:c>
      <x:c r="F26" s="33" t="str">
        <x:v>GTM-04</x:v>
      </x:c>
      <x:c r="G26" s="33" t="str">
        <x:v>Síntese do GTM; propostas sinalizadas no texto.</x:v>
      </x:c>
      <x:c r="H26" s="33" t="str"/>
      <x:c r="I26" s="33" t="str">
        <x:v>STO-06;DST-05</x:v>
      </x:c>
    </x:row>
    <x:row r="27" ht="62" customHeight="1">
      <x:c r="A27" s="33" t="str">
        <x:v>2.10</x:v>
      </x:c>
      <x:c r="B27" s="33" t="str">
        <x:v>Jornada — Uso recorrente</x:v>
      </x:c>
      <x:c r="C27" s="33" t="str">
        <x:v>PRODUTO</x:v>
      </x:c>
      <x:c r="D27" s="33" t="str">
        <x:v>E32</x:v>
      </x:c>
      <x:c r="E27" s="33" t="str">
        <x:v>Documentado</x:v>
      </x:c>
      <x:c r="F27" s="33" t="str">
        <x:v>GTM-04</x:v>
      </x:c>
      <x:c r="G27" s="33" t="str">
        <x:v>Síntese do GTM; propostas sinalizadas no texto.</x:v>
      </x:c>
      <x:c r="H27" s="33" t="str"/>
      <x:c r="I27" s="33" t="str"/>
    </x:row>
    <x:row r="28" ht="62" customHeight="1">
      <x:c r="A28" s="33" t="str">
        <x:v>2.11</x:v>
      </x:c>
      <x:c r="B28" s="33" t="str">
        <x:v>Momento 'aha'</x:v>
      </x:c>
      <x:c r="C28" s="33" t="str">
        <x:v>PRODUTO</x:v>
      </x:c>
      <x:c r="D28" s="33" t="str">
        <x:v>E33</x:v>
      </x:c>
      <x:c r="E28" s="33" t="str">
        <x:v>Proposta a validar</x:v>
      </x:c>
      <x:c r="F28" s="33" t="str">
        <x:v>GTM-11;GTM-12</x:v>
      </x:c>
      <x:c r="G28" s="33" t="str">
        <x:v>Síntese do GTM; propostas sinalizadas no texto.</x:v>
      </x:c>
      <x:c r="H28" s="33" t="str"/>
      <x:c r="I28" s="33" t="str"/>
    </x:row>
    <x:row r="29" ht="62" customHeight="1">
      <x:c r="A29" s="33" t="str">
        <x:v>2.12</x:v>
      </x:c>
      <x:c r="B29" s="33" t="str">
        <x:v>User story de referência</x:v>
      </x:c>
      <x:c r="C29" s="33" t="str">
        <x:v>PRODUTO</x:v>
      </x:c>
      <x:c r="D29" s="33" t="str">
        <x:v>E34</x:v>
      </x:c>
      <x:c r="E29" s="33" t="str">
        <x:v>Proposta a validar</x:v>
      </x:c>
      <x:c r="F29" s="33" t="str">
        <x:v>GTM-08</x:v>
      </x:c>
      <x:c r="G29" s="33" t="str">
        <x:v>Síntese do GTM; propostas sinalizadas no texto.</x:v>
      </x:c>
      <x:c r="H29" s="33" t="str"/>
      <x:c r="I29" s="33" t="str">
        <x:v>MAP-03</x:v>
      </x:c>
    </x:row>
    <x:row r="30" ht="62" customHeight="1">
      <x:c r="A30" s="33" t="str">
        <x:v>3.1</x:v>
      </x:c>
      <x:c r="B30" s="33" t="str">
        <x:v>Stack — Frontend</x:v>
      </x:c>
      <x:c r="C30" s="33" t="str">
        <x:v>ARQUITETURA &amp; FULL STACK</x:v>
      </x:c>
      <x:c r="D30" s="33" t="str">
        <x:v>E38</x:v>
      </x:c>
      <x:c r="E30" s="33" t="str">
        <x:v>Parcial / a validar</x:v>
      </x:c>
      <x:c r="F30" s="33" t="str">
        <x:v>GTM-02</x:v>
      </x:c>
      <x:c r="G30" s="33" t="str">
        <x:v>Síntese do GTM; propostas sinalizadas no texto.</x:v>
      </x:c>
      <x:c r="H30" s="33" t="str">
        <x:v>DEC-08</x:v>
      </x:c>
      <x:c r="I30" s="33" t="str">
        <x:v>BLOG-01;BLOG-04</x:v>
      </x:c>
    </x:row>
    <x:row r="31" ht="62" customHeight="1">
      <x:c r="A31" s="33" t="str">
        <x:v>3.2</x:v>
      </x:c>
      <x:c r="B31" s="33" t="str">
        <x:v>Stack — Backend</x:v>
      </x:c>
      <x:c r="C31" s="33" t="str">
        <x:v>ARQUITETURA &amp; FULL STACK</x:v>
      </x:c>
      <x:c r="D31" s="33" t="str">
        <x:v>E39</x:v>
      </x:c>
      <x:c r="E31" s="33" t="str">
        <x:v>Parcial / a validar</x:v>
      </x:c>
      <x:c r="F31" s="33" t="str">
        <x:v>GTM-02</x:v>
      </x:c>
      <x:c r="G31" s="33" t="str">
        <x:v>Síntese do GTM; propostas sinalizadas no texto.</x:v>
      </x:c>
      <x:c r="H31" s="33" t="str">
        <x:v>DEC-08</x:v>
      </x:c>
      <x:c r="I31" s="33" t="str">
        <x:v>BLOG-01;BLOG-03</x:v>
      </x:c>
    </x:row>
    <x:row r="32" ht="62" customHeight="1">
      <x:c r="A32" s="33" t="str">
        <x:v>3.3</x:v>
      </x:c>
      <x:c r="B32" s="33" t="str">
        <x:v>Banco de dados</x:v>
      </x:c>
      <x:c r="C32" s="33" t="str">
        <x:v>ARQUITETURA &amp; FULL STACK</x:v>
      </x:c>
      <x:c r="D32" s="33" t="str">
        <x:v>E40</x:v>
      </x:c>
      <x:c r="E32" s="33" t="str">
        <x:v>Parcial / a validar</x:v>
      </x:c>
      <x:c r="F32" s="33" t="str">
        <x:v>GTM-02;GTM-10</x:v>
      </x:c>
      <x:c r="G32" s="33" t="str">
        <x:v>Síntese do GTM; propostas sinalizadas no texto.</x:v>
      </x:c>
      <x:c r="H32" s="33" t="str">
        <x:v>DEC-08</x:v>
      </x:c>
      <x:c r="I32" s="33" t="str">
        <x:v>BLOG-01</x:v>
      </x:c>
    </x:row>
    <x:row r="33" ht="62" customHeight="1">
      <x:c r="A33" s="33" t="str">
        <x:v>3.4</x:v>
      </x:c>
      <x:c r="B33" s="33" t="str">
        <x:v>Infraestrutura / hosting</x:v>
      </x:c>
      <x:c r="C33" s="33" t="str">
        <x:v>ARQUITETURA &amp; FULL STACK</x:v>
      </x:c>
      <x:c r="D33" s="33" t="str">
        <x:v>E41</x:v>
      </x:c>
      <x:c r="E33" s="33" t="str">
        <x:v>Parcial / a validar</x:v>
      </x:c>
      <x:c r="F33" s="33" t="str">
        <x:v>GTM-02</x:v>
      </x:c>
      <x:c r="G33" s="33" t="str">
        <x:v>Síntese do GTM; propostas sinalizadas no texto.</x:v>
      </x:c>
      <x:c r="H33" s="33" t="str">
        <x:v>DEC-08</x:v>
      </x:c>
      <x:c r="I33" s="33" t="str">
        <x:v>BLOG-01</x:v>
      </x:c>
    </x:row>
    <x:row r="34" ht="62" customHeight="1">
      <x:c r="A34" s="33" t="str">
        <x:v>3.5</x:v>
      </x:c>
      <x:c r="B34" s="33" t="str">
        <x:v>Autenticação</x:v>
      </x:c>
      <x:c r="C34" s="33" t="str">
        <x:v>ARQUITETURA &amp; FULL STACK</x:v>
      </x:c>
      <x:c r="D34" s="33" t="str">
        <x:v>E42</x:v>
      </x:c>
      <x:c r="E34" s="33" t="str">
        <x:v>Parcial / a validar</x:v>
      </x:c>
      <x:c r="F34" s="33" t="str">
        <x:v>GTM-02</x:v>
      </x:c>
      <x:c r="G34" s="33" t="str">
        <x:v>Síntese do GTM; propostas sinalizadas no texto.</x:v>
      </x:c>
      <x:c r="H34" s="33" t="str">
        <x:v>DEC-08</x:v>
      </x:c>
      <x:c r="I34" s="33" t="str">
        <x:v>BLOG-07</x:v>
      </x:c>
    </x:row>
    <x:row r="35" ht="62" customHeight="1">
      <x:c r="A35" s="33" t="str">
        <x:v>3.6</x:v>
      </x:c>
      <x:c r="B35" s="33" t="str">
        <x:v>Estrutura de repositório</x:v>
      </x:c>
      <x:c r="C35" s="33" t="str">
        <x:v>ARQUITETURA &amp; FULL STACK</x:v>
      </x:c>
      <x:c r="D35" s="33" t="str">
        <x:v>E43</x:v>
      </x:c>
      <x:c r="E35" s="33" t="str">
        <x:v>Parcial / a validar</x:v>
      </x:c>
      <x:c r="F35" s="33" t="str">
        <x:v>GTM-11;GTM-13;GTM-16</x:v>
      </x:c>
      <x:c r="G35" s="33" t="str">
        <x:v>Síntese do GTM; propostas sinalizadas no texto.</x:v>
      </x:c>
      <x:c r="H35" s="33" t="str"/>
      <x:c r="I35" s="33" t="str">
        <x:v>BLOG-02;AGT-05</x:v>
      </x:c>
    </x:row>
    <x:row r="36" ht="62" customHeight="1">
      <x:c r="A36" s="33" t="str">
        <x:v>3.7</x:v>
      </x:c>
      <x:c r="B36" s="33" t="str">
        <x:v>Mapa de rotas principais</x:v>
      </x:c>
      <x:c r="C36" s="33" t="str">
        <x:v>ARQUITETURA &amp; FULL STACK</x:v>
      </x:c>
      <x:c r="D36" s="33" t="str">
        <x:v>E44</x:v>
      </x:c>
      <x:c r="E36" s="33" t="str">
        <x:v>Parcial / a validar</x:v>
      </x:c>
      <x:c r="F36" s="33" t="str">
        <x:v>GTM-08;GTM-16</x:v>
      </x:c>
      <x:c r="G36" s="33" t="str">
        <x:v>Síntese do GTM; propostas sinalizadas no texto.</x:v>
      </x:c>
      <x:c r="H36" s="33" t="str"/>
      <x:c r="I36" s="33" t="str">
        <x:v>BLOG-05;MAP-04</x:v>
      </x:c>
    </x:row>
    <x:row r="37" ht="62" customHeight="1">
      <x:c r="A37" s="33" t="str">
        <x:v>3.8</x:v>
      </x:c>
      <x:c r="B37" s="33" t="str">
        <x:v>Decisão de arquitetura #1 (ADR)</x:v>
      </x:c>
      <x:c r="C37" s="33" t="str">
        <x:v>ARQUITETURA &amp; FULL STACK</x:v>
      </x:c>
      <x:c r="D37" s="33" t="str">
        <x:v>E45</x:v>
      </x:c>
      <x:c r="E37" s="33" t="str">
        <x:v>Proposta a validar</x:v>
      </x:c>
      <x:c r="F37" s="33" t="str">
        <x:v>GTM-09</x:v>
      </x:c>
      <x:c r="G37" s="33" t="str">
        <x:v>Síntese do GTM; propostas sinalizadas no texto.</x:v>
      </x:c>
      <x:c r="H37" s="33" t="str">
        <x:v>DEC-06</x:v>
      </x:c>
      <x:c r="I37" s="33" t="str"/>
    </x:row>
    <x:row r="38" ht="62" customHeight="1">
      <x:c r="A38" s="33" t="str">
        <x:v>3.9</x:v>
      </x:c>
      <x:c r="B38" s="33" t="str">
        <x:v>Decisão de arquitetura #2 (ADR)</x:v>
      </x:c>
      <x:c r="C38" s="33" t="str">
        <x:v>ARQUITETURA &amp; FULL STACK</x:v>
      </x:c>
      <x:c r="D38" s="33" t="str">
        <x:v>E46</x:v>
      </x:c>
      <x:c r="E38" s="33" t="str">
        <x:v>Parcial / a validar</x:v>
      </x:c>
      <x:c r="F38" s="33" t="str">
        <x:v>GTM-02</x:v>
      </x:c>
      <x:c r="G38" s="33" t="str">
        <x:v>Síntese do GTM; propostas sinalizadas no texto.</x:v>
      </x:c>
      <x:c r="H38" s="33" t="str"/>
      <x:c r="I38" s="33" t="str">
        <x:v>BLOG-01</x:v>
      </x:c>
    </x:row>
    <x:row r="39" ht="62" customHeight="1">
      <x:c r="A39" s="33" t="str">
        <x:v>3.10</x:v>
      </x:c>
      <x:c r="B39" s="33" t="str">
        <x:v>Trade-offs aceitos</x:v>
      </x:c>
      <x:c r="C39" s="33" t="str">
        <x:v>ARQUITETURA &amp; FULL STACK</x:v>
      </x:c>
      <x:c r="D39" s="33" t="str">
        <x:v>E47</x:v>
      </x:c>
      <x:c r="E39" s="33" t="str">
        <x:v>Parcial / a validar</x:v>
      </x:c>
      <x:c r="F39" s="33" t="str">
        <x:v>GTM-09</x:v>
      </x:c>
      <x:c r="G39" s="33" t="str">
        <x:v>Síntese do GTM; propostas sinalizadas no texto.</x:v>
      </x:c>
      <x:c r="H39" s="33" t="str"/>
      <x:c r="I39" s="33" t="str"/>
    </x:row>
    <x:row r="40" ht="62" customHeight="1">
      <x:c r="A40" s="33" t="str">
        <x:v>4.1</x:v>
      </x:c>
      <x:c r="B40" s="33" t="str">
        <x:v>Modelo de dados / schema</x:v>
      </x:c>
      <x:c r="C40" s="33" t="str">
        <x:v>IMPLEMENTAÇÃO</x:v>
      </x:c>
      <x:c r="D40" s="33" t="str">
        <x:v>E51</x:v>
      </x:c>
      <x:c r="E40" s="33" t="str">
        <x:v>Parcial / a validar</x:v>
      </x:c>
      <x:c r="F40" s="33" t="str">
        <x:v>GTM-09;GTM-13</x:v>
      </x:c>
      <x:c r="G40" s="33" t="str">
        <x:v>Síntese do GTM; propostas sinalizadas no texto.</x:v>
      </x:c>
      <x:c r="H40" s="33" t="str">
        <x:v>DEC-02;DEC-06</x:v>
      </x:c>
      <x:c r="I40" s="33" t="str">
        <x:v>SCH-01;SCH-02;SCH-03;SCH-04;SCH-05;BLOG-03;STO-02;STO-03;MAP-02;DST-03</x:v>
      </x:c>
    </x:row>
    <x:row r="41" ht="62" customHeight="1">
      <x:c r="A41" s="33" t="str">
        <x:v>4.2</x:v>
      </x:c>
      <x:c r="B41" s="33" t="str">
        <x:v>Endpoints de API principais</x:v>
      </x:c>
      <x:c r="C41" s="33" t="str">
        <x:v>IMPLEMENTAÇÃO</x:v>
      </x:c>
      <x:c r="D41" s="33" t="str">
        <x:v>E52</x:v>
      </x:c>
      <x:c r="E41" s="33" t="str">
        <x:v>Parcial / a validar</x:v>
      </x:c>
      <x:c r="F41" s="33" t="str">
        <x:v>GTM-16</x:v>
      </x:c>
      <x:c r="G41" s="33" t="str">
        <x:v>Síntese do GTM; propostas sinalizadas no texto.</x:v>
      </x:c>
      <x:c r="H41" s="33" t="str">
        <x:v>DEC-08</x:v>
      </x:c>
      <x:c r="I41" s="33" t="str">
        <x:v>BLOG-07</x:v>
      </x:c>
    </x:row>
    <x:row r="42" ht="62" customHeight="1">
      <x:c r="A42" s="33" t="str">
        <x:v>4.3</x:v>
      </x:c>
      <x:c r="B42" s="33" t="str">
        <x:v>Agentes/Tools MCP integrados</x:v>
      </x:c>
      <x:c r="C42" s="33" t="str">
        <x:v>IMPLEMENTAÇÃO</x:v>
      </x:c>
      <x:c r="D42" s="33" t="str">
        <x:v>E53</x:v>
      </x:c>
      <x:c r="E42" s="33" t="str">
        <x:v>Parcial / a validar</x:v>
      </x:c>
      <x:c r="F42" s="33" t="str">
        <x:v>GTM-07</x:v>
      </x:c>
      <x:c r="G42" s="33" t="str">
        <x:v>Síntese do GTM; propostas sinalizadas no texto.</x:v>
      </x:c>
      <x:c r="H42" s="33" t="str"/>
      <x:c r="I42" s="33" t="str">
        <x:v>AGT-01;AGT-03;AGT-04;AGT-07</x:v>
      </x:c>
    </x:row>
    <x:row r="43" ht="62" customHeight="1">
      <x:c r="A43" s="33" t="str">
        <x:v>4.4</x:v>
      </x:c>
      <x:c r="B43" s="33" t="str">
        <x:v>Dependências núcleo (obrigatórias)</x:v>
      </x:c>
      <x:c r="C43" s="33" t="str">
        <x:v>IMPLEMENTAÇÃO</x:v>
      </x:c>
      <x:c r="D43" s="33" t="str">
        <x:v>E54</x:v>
      </x:c>
      <x:c r="E43" s="33" t="str">
        <x:v>Parcial / a validar</x:v>
      </x:c>
      <x:c r="F43" s="33" t="str">
        <x:v>GTM-01;GTM-03;GTM-09</x:v>
      </x:c>
      <x:c r="G43" s="33" t="str">
        <x:v>Síntese do GTM; propostas sinalizadas no texto.</x:v>
      </x:c>
      <x:c r="H43" s="33" t="str"/>
      <x:c r="I43" s="33" t="str">
        <x:v>BLOG-02</x:v>
      </x:c>
    </x:row>
    <x:row r="44" ht="62" customHeight="1">
      <x:c r="A44" s="33" t="str">
        <x:v>4.5</x:v>
      </x:c>
      <x:c r="B44" s="33" t="str">
        <x:v>Dependências condicionais</x:v>
      </x:c>
      <x:c r="C44" s="33" t="str">
        <x:v>IMPLEMENTAÇÃO</x:v>
      </x:c>
      <x:c r="D44" s="33" t="str">
        <x:v>E55</x:v>
      </x:c>
      <x:c r="E44" s="33" t="str">
        <x:v>Parcial / a validar</x:v>
      </x:c>
      <x:c r="F44" s="33" t="str">
        <x:v>GTM-10</x:v>
      </x:c>
      <x:c r="G44" s="33" t="str">
        <x:v>Síntese do GTM; propostas sinalizadas no texto.</x:v>
      </x:c>
      <x:c r="H44" s="33" t="str"/>
      <x:c r="I44" s="33" t="str"/>
    </x:row>
    <x:row r="45" ht="62" customHeight="1">
      <x:c r="A45" s="33" t="str">
        <x:v>4.6</x:v>
      </x:c>
      <x:c r="B45" s="33" t="str">
        <x:v>Política de atualização de dependências</x:v>
      </x:c>
      <x:c r="C45" s="33" t="str">
        <x:v>IMPLEMENTAÇÃO</x:v>
      </x:c>
      <x:c r="D45" s="33" t="str">
        <x:v>E56</x:v>
      </x:c>
      <x:c r="E45" s="33" t="str">
        <x:v>Não informado</x:v>
      </x:c>
      <x:c r="F45" s="33" t="str">
        <x:v>GTM-01;GTM-02</x:v>
      </x:c>
      <x:c r="G45" s="33" t="str">
        <x:v>Ausência na fonte; não inferir valor.</x:v>
      </x:c>
      <x:c r="H45" s="33" t="str">
        <x:v>DEC-12</x:v>
      </x:c>
      <x:c r="I45" s="33" t="str"/>
    </x:row>
    <x:row r="46" ht="62" customHeight="1">
      <x:c r="A46" s="33" t="str">
        <x:v>4.7</x:v>
      </x:c>
      <x:c r="B46" s="33" t="str">
        <x:v>Componente frontend principal</x:v>
      </x:c>
      <x:c r="C46" s="33" t="str">
        <x:v>IMPLEMENTAÇÃO</x:v>
      </x:c>
      <x:c r="D46" s="33" t="str">
        <x:v>E57</x:v>
      </x:c>
      <x:c r="E46" s="33" t="str">
        <x:v>Documentado</x:v>
      </x:c>
      <x:c r="F46" s="33" t="str">
        <x:v>GTM-15</x:v>
      </x:c>
      <x:c r="G46" s="33" t="str">
        <x:v>Síntese do GTM; propostas sinalizadas no texto.</x:v>
      </x:c>
      <x:c r="H46" s="33" t="str"/>
      <x:c r="I46" s="33" t="str">
        <x:v>SCH-06;BLOG-04;QF-03;QF-04;QF-05</x:v>
      </x:c>
    </x:row>
    <x:row r="47" ht="62" customHeight="1">
      <x:c r="A47" s="33" t="str">
        <x:v>4.8</x:v>
      </x:c>
      <x:c r="B47" s="33" t="str">
        <x:v>Testes automatizados</x:v>
      </x:c>
      <x:c r="C47" s="33" t="str">
        <x:v>IMPLEMENTAÇÃO</x:v>
      </x:c>
      <x:c r="D47" s="33" t="str">
        <x:v>E58</x:v>
      </x:c>
      <x:c r="E47" s="33" t="str">
        <x:v>Parcial / a validar</x:v>
      </x:c>
      <x:c r="F47" s="33" t="str">
        <x:v>GTM-02;GTM-15</x:v>
      </x:c>
      <x:c r="G47" s="33" t="str">
        <x:v>Síntese do GTM; propostas sinalizadas no texto.</x:v>
      </x:c>
      <x:c r="H47" s="33" t="str"/>
      <x:c r="I47" s="33" t="str">
        <x:v>SCH-07;BLOG-10;AGT-06;QF-05</x:v>
      </x:c>
    </x:row>
    <x:row r="48" ht="62" customHeight="1">
      <x:c r="A48" s="33" t="str">
        <x:v>5.1</x:v>
      </x:c>
      <x:c r="B48" s="33" t="str">
        <x:v>Checklist pré-deploy</x:v>
      </x:c>
      <x:c r="C48" s="33" t="str">
        <x:v>OPERAÇÃO (DEPLOY &amp; ROLLBACK)</x:v>
      </x:c>
      <x:c r="D48" s="33" t="str">
        <x:v>E62</x:v>
      </x:c>
      <x:c r="E48" s="33" t="str">
        <x:v>Não informado</x:v>
      </x:c>
      <x:c r="F48" s="33" t="str">
        <x:v>GTM-01;GTM-02</x:v>
      </x:c>
      <x:c r="G48" s="33" t="str">
        <x:v>Ausência na fonte; não inferir valor.</x:v>
      </x:c>
      <x:c r="H48" s="33" t="str">
        <x:v>DEC-12</x:v>
      </x:c>
      <x:c r="I48" s="33" t="str">
        <x:v>BLOG-09</x:v>
      </x:c>
    </x:row>
    <x:row r="49" ht="62" customHeight="1">
      <x:c r="A49" s="33" t="str">
        <x:v>5.2</x:v>
      </x:c>
      <x:c r="B49" s="33" t="str">
        <x:v>Checks de saúde pós-deploy</x:v>
      </x:c>
      <x:c r="C49" s="33" t="str">
        <x:v>OPERAÇÃO (DEPLOY &amp; ROLLBACK)</x:v>
      </x:c>
      <x:c r="D49" s="33" t="str">
        <x:v>E63</x:v>
      </x:c>
      <x:c r="E49" s="33" t="str">
        <x:v>Não informado</x:v>
      </x:c>
      <x:c r="F49" s="33" t="str">
        <x:v>GTM-01;GTM-02</x:v>
      </x:c>
      <x:c r="G49" s="33" t="str">
        <x:v>Ausência na fonte; não inferir valor.</x:v>
      </x:c>
      <x:c r="H49" s="33" t="str">
        <x:v>DEC-12</x:v>
      </x:c>
      <x:c r="I49" s="33" t="str">
        <x:v>BLOG-09</x:v>
      </x:c>
    </x:row>
    <x:row r="50" ht="62" customHeight="1">
      <x:c r="A50" s="33" t="str">
        <x:v>5.3</x:v>
      </x:c>
      <x:c r="B50" s="33" t="str">
        <x:v>Gatilho de rollback — taxa de erro</x:v>
      </x:c>
      <x:c r="C50" s="33" t="str">
        <x:v>OPERAÇÃO (DEPLOY &amp; ROLLBACK)</x:v>
      </x:c>
      <x:c r="D50" s="33" t="str">
        <x:v>E64</x:v>
      </x:c>
      <x:c r="E50" s="33" t="str">
        <x:v>Não informado</x:v>
      </x:c>
      <x:c r="F50" s="33" t="str">
        <x:v>GTM-01;GTM-02</x:v>
      </x:c>
      <x:c r="G50" s="33" t="str">
        <x:v>Ausência na fonte; não inferir valor.</x:v>
      </x:c>
      <x:c r="H50" s="33" t="str">
        <x:v>DEC-12</x:v>
      </x:c>
      <x:c r="I50" s="33" t="str">
        <x:v>BLOG-09</x:v>
      </x:c>
    </x:row>
    <x:row r="51" ht="62" customHeight="1">
      <x:c r="A51" s="33" t="str">
        <x:v>5.4</x:v>
      </x:c>
      <x:c r="B51" s="33" t="str">
        <x:v>Gatilho de rollback — latência</x:v>
      </x:c>
      <x:c r="C51" s="33" t="str">
        <x:v>OPERAÇÃO (DEPLOY &amp; ROLLBACK)</x:v>
      </x:c>
      <x:c r="D51" s="33" t="str">
        <x:v>E65</x:v>
      </x:c>
      <x:c r="E51" s="33" t="str">
        <x:v>Não informado</x:v>
      </x:c>
      <x:c r="F51" s="33" t="str">
        <x:v>GTM-01;GTM-02</x:v>
      </x:c>
      <x:c r="G51" s="33" t="str">
        <x:v>Ausência na fonte; não inferir valor.</x:v>
      </x:c>
      <x:c r="H51" s="33" t="str">
        <x:v>DEC-12</x:v>
      </x:c>
      <x:c r="I51" s="33" t="str">
        <x:v>BLOG-09</x:v>
      </x:c>
    </x:row>
    <x:row r="52" ht="62" customHeight="1">
      <x:c r="A52" s="33" t="str">
        <x:v>5.5</x:v>
      </x:c>
      <x:c r="B52" s="33" t="str">
        <x:v>Gatilho de rollback — fluxo crítico</x:v>
      </x:c>
      <x:c r="C52" s="33" t="str">
        <x:v>OPERAÇÃO (DEPLOY &amp; ROLLBACK)</x:v>
      </x:c>
      <x:c r="D52" s="33" t="str">
        <x:v>E66</x:v>
      </x:c>
      <x:c r="E52" s="33" t="str">
        <x:v>Não informado</x:v>
      </x:c>
      <x:c r="F52" s="33" t="str">
        <x:v>GTM-01;GTM-02</x:v>
      </x:c>
      <x:c r="G52" s="33" t="str">
        <x:v>Ausência na fonte; não inferir valor.</x:v>
      </x:c>
      <x:c r="H52" s="33" t="str">
        <x:v>DEC-12</x:v>
      </x:c>
      <x:c r="I52" s="33" t="str">
        <x:v>BLOG-09</x:v>
      </x:c>
    </x:row>
    <x:row r="53" ht="62" customHeight="1">
      <x:c r="A53" s="33" t="str">
        <x:v>5.6</x:v>
      </x:c>
      <x:c r="B53" s="33" t="str">
        <x:v>Procedimento de rollback</x:v>
      </x:c>
      <x:c r="C53" s="33" t="str">
        <x:v>OPERAÇÃO (DEPLOY &amp; ROLLBACK)</x:v>
      </x:c>
      <x:c r="D53" s="33" t="str">
        <x:v>E67</x:v>
      </x:c>
      <x:c r="E53" s="33" t="str">
        <x:v>Não informado</x:v>
      </x:c>
      <x:c r="F53" s="33" t="str">
        <x:v>GTM-01;GTM-02</x:v>
      </x:c>
      <x:c r="G53" s="33" t="str">
        <x:v>Ausência na fonte; não inferir valor.</x:v>
      </x:c>
      <x:c r="H53" s="33" t="str">
        <x:v>DEC-12</x:v>
      </x:c>
      <x:c r="I53" s="33" t="str">
        <x:v>BLOG-09</x:v>
      </x:c>
    </x:row>
    <x:row r="54" ht="62" customHeight="1">
      <x:c r="A54" s="33" t="str">
        <x:v>6.1</x:v>
      </x:c>
      <x:c r="B54" s="33" t="str">
        <x:v>Estratégia de branch</x:v>
      </x:c>
      <x:c r="C54" s="33" t="str">
        <x:v>GOVERNANÇA &amp; SEGURANÇA</x:v>
      </x:c>
      <x:c r="D54" s="33" t="str">
        <x:v>E71</x:v>
      </x:c>
      <x:c r="E54" s="33" t="str">
        <x:v>Não informado</x:v>
      </x:c>
      <x:c r="F54" s="33" t="str">
        <x:v>GTM-01;GTM-02</x:v>
      </x:c>
      <x:c r="G54" s="33" t="str">
        <x:v>Ausência na fonte; não inferir valor.</x:v>
      </x:c>
      <x:c r="H54" s="33" t="str">
        <x:v>DEC-12</x:v>
      </x:c>
      <x:c r="I54" s="33" t="str"/>
    </x:row>
    <x:row r="55" ht="62" customHeight="1">
      <x:c r="A55" s="33" t="str">
        <x:v>6.2</x:v>
      </x:c>
      <x:c r="B55" s="33" t="str">
        <x:v>Gate humano obrigatório</x:v>
      </x:c>
      <x:c r="C55" s="33" t="str">
        <x:v>GOVERNANÇA &amp; SEGURANÇA</x:v>
      </x:c>
      <x:c r="D55" s="33" t="str">
        <x:v>E72</x:v>
      </x:c>
      <x:c r="E55" s="33" t="str">
        <x:v>Parcial / a validar</x:v>
      </x:c>
      <x:c r="F55" s="33" t="str">
        <x:v>GTM-02;GTM-17</x:v>
      </x:c>
      <x:c r="G55" s="33" t="str">
        <x:v>Síntese do GTM; propostas sinalizadas no texto.</x:v>
      </x:c>
      <x:c r="H55" s="33" t="str"/>
      <x:c r="I55" s="33" t="str">
        <x:v>STO-08</x:v>
      </x:c>
    </x:row>
    <x:row r="56" ht="62" customHeight="1">
      <x:c r="A56" s="33" t="str">
        <x:v>6.3</x:v>
      </x:c>
      <x:c r="B56" s="33" t="str">
        <x:v>Armazenamento de segredos</x:v>
      </x:c>
      <x:c r="C56" s="33" t="str">
        <x:v>GOVERNANÇA &amp; SEGURANÇA</x:v>
      </x:c>
      <x:c r="D56" s="33" t="str">
        <x:v>E73</x:v>
      </x:c>
      <x:c r="E56" s="33" t="str">
        <x:v>Não informado</x:v>
      </x:c>
      <x:c r="F56" s="33" t="str">
        <x:v>GTM-01;GTM-02</x:v>
      </x:c>
      <x:c r="G56" s="33" t="str">
        <x:v>Ausência na fonte; não inferir valor.</x:v>
      </x:c>
      <x:c r="H56" s="33" t="str">
        <x:v>DEC-12</x:v>
      </x:c>
      <x:c r="I56" s="33" t="str">
        <x:v>BLOG-07</x:v>
      </x:c>
    </x:row>
    <x:row r="57" ht="62" customHeight="1">
      <x:c r="A57" s="33" t="str">
        <x:v>6.4</x:v>
      </x:c>
      <x:c r="B57" s="33" t="str">
        <x:v>Rotação de credenciais</x:v>
      </x:c>
      <x:c r="C57" s="33" t="str">
        <x:v>GOVERNANÇA &amp; SEGURANÇA</x:v>
      </x:c>
      <x:c r="D57" s="33" t="str">
        <x:v>E74</x:v>
      </x:c>
      <x:c r="E57" s="33" t="str">
        <x:v>Não informado</x:v>
      </x:c>
      <x:c r="F57" s="33" t="str">
        <x:v>GTM-01;GTM-02</x:v>
      </x:c>
      <x:c r="G57" s="33" t="str">
        <x:v>Ausência na fonte; não inferir valor.</x:v>
      </x:c>
      <x:c r="H57" s="33" t="str">
        <x:v>DEC-12</x:v>
      </x:c>
      <x:c r="I57" s="33" t="str">
        <x:v>BLOG-07</x:v>
      </x:c>
    </x:row>
    <x:row r="58" ht="62" customHeight="1">
      <x:c r="A58" s="33" t="str">
        <x:v>6.5</x:v>
      </x:c>
      <x:c r="B58" s="33" t="str">
        <x:v>Riscos de segurança conhecidos</x:v>
      </x:c>
      <x:c r="C58" s="33" t="str">
        <x:v>GOVERNANÇA &amp; SEGURANÇA</x:v>
      </x:c>
      <x:c r="D58" s="33" t="str">
        <x:v>E75</x:v>
      </x:c>
      <x:c r="E58" s="33" t="str">
        <x:v>Parcial / a validar</x:v>
      </x:c>
      <x:c r="F58" s="33" t="str">
        <x:v>GTM-01</x:v>
      </x:c>
      <x:c r="G58" s="33" t="str">
        <x:v>Síntese do GTM; propostas sinalizadas no texto.</x:v>
      </x:c>
      <x:c r="H58" s="33" t="str"/>
      <x:c r="I58" s="33" t="str">
        <x:v>GOV-08</x:v>
      </x:c>
    </x:row>
    <x:row r="59" ht="62" customHeight="1">
      <x:c r="A59" s="33" t="str">
        <x:v>6.6</x:v>
      </x:c>
      <x:c r="B59" s="33" t="str">
        <x:v>Escopo de autonomia do agente de AI</x:v>
      </x:c>
      <x:c r="C59" s="33" t="str">
        <x:v>GOVERNANÇA &amp; SEGURANÇA</x:v>
      </x:c>
      <x:c r="D59" s="33" t="str">
        <x:v>E76</x:v>
      </x:c>
      <x:c r="E59" s="33" t="str">
        <x:v>Parcial / a validar</x:v>
      </x:c>
      <x:c r="F59" s="33" t="str">
        <x:v>GTM-01;GTM-16</x:v>
      </x:c>
      <x:c r="G59" s="33" t="str">
        <x:v>Síntese do GTM; propostas sinalizadas no texto.</x:v>
      </x:c>
      <x:c r="H59" s="33" t="str">
        <x:v>DEC-11</x:v>
      </x:c>
      <x:c r="I59" s="33" t="str">
        <x:v>AGT-02;AGT-03;AGT-05</x:v>
      </x:c>
    </x:row>
    <x:row r="60" ht="62" customHeight="1">
      <x:c r="A60" s="33" t="str">
        <x:v>7.1</x:v>
      </x:c>
      <x:c r="B60" s="33" t="str">
        <x:v>README existe?</x:v>
      </x:c>
      <x:c r="C60" s="33" t="str">
        <x:v>DOCUMENTAÇÃO FUNDACIONAL</x:v>
      </x:c>
      <x:c r="D60" s="33" t="str">
        <x:v>E80</x:v>
      </x:c>
      <x:c r="E60" s="33" t="str">
        <x:v>Parcial / a validar</x:v>
      </x:c>
      <x:c r="F60" s="33" t="str">
        <x:v>GTM-02</x:v>
      </x:c>
      <x:c r="G60" s="33" t="str">
        <x:v>Síntese do GTM; propostas sinalizadas no texto.</x:v>
      </x:c>
      <x:c r="H60" s="33" t="str">
        <x:v>DEC-05</x:v>
      </x:c>
      <x:c r="I60" s="33" t="str">
        <x:v>GOV-05;GOV-06</x:v>
      </x:c>
    </x:row>
    <x:row r="61" ht="62" customHeight="1">
      <x:c r="A61" s="33" t="str">
        <x:v>7.2</x:v>
      </x:c>
      <x:c r="B61" s="33" t="str">
        <x:v>ADRs documentados</x:v>
      </x:c>
      <x:c r="C61" s="33" t="str">
        <x:v>DOCUMENTAÇÃO FUNDACIONAL</x:v>
      </x:c>
      <x:c r="D61" s="33" t="str">
        <x:v>E81</x:v>
      </x:c>
      <x:c r="E61" s="33" t="str">
        <x:v>Parcial / a validar</x:v>
      </x:c>
      <x:c r="F61" s="33" t="str">
        <x:v>GTM-02;GTM-09</x:v>
      </x:c>
      <x:c r="G61" s="33" t="str">
        <x:v>Síntese do GTM; propostas sinalizadas no texto.</x:v>
      </x:c>
      <x:c r="H61" s="33" t="str"/>
      <x:c r="I61" s="33" t="str">
        <x:v>GOV-06</x:v>
      </x:c>
    </x:row>
    <x:row r="62" ht="62" customHeight="1">
      <x:c r="A62" s="33" t="str">
        <x:v>7.3</x:v>
      </x:c>
      <x:c r="B62" s="33" t="str">
        <x:v>Documentação de API</x:v>
      </x:c>
      <x:c r="C62" s="33" t="str">
        <x:v>DOCUMENTAÇÃO FUNDACIONAL</x:v>
      </x:c>
      <x:c r="D62" s="33" t="str">
        <x:v>E82</x:v>
      </x:c>
      <x:c r="E62" s="33" t="str">
        <x:v>Parcial / a validar</x:v>
      </x:c>
      <x:c r="F62" s="33" t="str">
        <x:v>GTM-02</x:v>
      </x:c>
      <x:c r="G62" s="33" t="str">
        <x:v>Síntese do GTM; propostas sinalizadas no texto.</x:v>
      </x:c>
      <x:c r="H62" s="33" t="str"/>
      <x:c r="I62" s="33" t="str">
        <x:v>GOV-06</x:v>
      </x:c>
    </x:row>
    <x:row r="63" ht="62" customHeight="1">
      <x:c r="A63" s="33" t="str">
        <x:v>7.4</x:v>
      </x:c>
      <x:c r="B63" s="33" t="str">
        <x:v>Guia de onboarding</x:v>
      </x:c>
      <x:c r="C63" s="33" t="str">
        <x:v>DOCUMENTAÇÃO FUNDACIONAL</x:v>
      </x:c>
      <x:c r="D63" s="33" t="str">
        <x:v>E83</x:v>
      </x:c>
      <x:c r="E63" s="33" t="str">
        <x:v>Parcial / a validar</x:v>
      </x:c>
      <x:c r="F63" s="33" t="str">
        <x:v>GTM-18</x:v>
      </x:c>
      <x:c r="G63" s="33" t="str">
        <x:v>Síntese do GTM; propostas sinalizadas no texto.</x:v>
      </x:c>
      <x:c r="H63" s="33" t="str"/>
      <x:c r="I63" s="33" t="str">
        <x:v>GOV-06</x:v>
      </x:c>
    </x:row>
    <x:row r="64" ht="62" customHeight="1">
      <x:c r="A64" s="33" t="str">
        <x:v>7.5</x:v>
      </x:c>
      <x:c r="B64" s="33" t="str">
        <x:v>Catálogo de skills/ferramentas</x:v>
      </x:c>
      <x:c r="C64" s="33" t="str">
        <x:v>DOCUMENTAÇÃO FUNDACIONAL</x:v>
      </x:c>
      <x:c r="D64" s="33" t="str">
        <x:v>E84</x:v>
      </x:c>
      <x:c r="E64" s="33" t="str">
        <x:v>Documentado</x:v>
      </x:c>
      <x:c r="F64" s="33" t="str">
        <x:v>GTM-07</x:v>
      </x:c>
      <x:c r="G64" s="33" t="str">
        <x:v>Síntese do GTM; propostas sinalizadas no texto.</x:v>
      </x:c>
      <x:c r="H64" s="33" t="str"/>
      <x:c r="I64" s="33" t="str">
        <x:v>AGT-01</x:v>
      </x:c>
    </x:row>
    <x:row r="65" ht="62" customHeight="1">
      <x:c r="A65" s="33" t="str">
        <x:v>8.1</x:v>
      </x:c>
      <x:c r="B65" s="33" t="str">
        <x:v>Problema/oportunidade que justifica o projeto</x:v>
      </x:c>
      <x:c r="C65" s="33" t="str">
        <x:v>GESTÃO DE PROJETOS &amp; PMBOK</x:v>
      </x:c>
      <x:c r="D65" s="33" t="str">
        <x:v>E88</x:v>
      </x:c>
      <x:c r="E65" s="33" t="str">
        <x:v>Documentado</x:v>
      </x:c>
      <x:c r="F65" s="33" t="str">
        <x:v>GTM-01</x:v>
      </x:c>
      <x:c r="G65" s="33" t="str">
        <x:v>Síntese do GTM; propostas sinalizadas no texto.</x:v>
      </x:c>
      <x:c r="H65" s="33" t="str"/>
      <x:c r="I65" s="33" t="str"/>
    </x:row>
    <x:row r="66" ht="62" customHeight="1">
      <x:c r="A66" s="33" t="str">
        <x:v>8.2</x:v>
      </x:c>
      <x:c r="B66" s="33" t="str">
        <x:v>Sponsor / Patrocinador</x:v>
      </x:c>
      <x:c r="C66" s="33" t="str">
        <x:v>GESTÃO DE PROJETOS &amp; PMBOK</x:v>
      </x:c>
      <x:c r="D66" s="33" t="str">
        <x:v>E89</x:v>
      </x:c>
      <x:c r="E66" s="33" t="str">
        <x:v>Não informado</x:v>
      </x:c>
      <x:c r="F66" s="33" t="str">
        <x:v>GTM-01;GTM-02</x:v>
      </x:c>
      <x:c r="G66" s="33" t="str">
        <x:v>Ausência na fonte; não inferir valor.</x:v>
      </x:c>
      <x:c r="H66" s="33" t="str">
        <x:v>DEC-03</x:v>
      </x:c>
      <x:c r="I66" s="33" t="str">
        <x:v>GOV-02</x:v>
      </x:c>
    </x:row>
    <x:row r="67" ht="62" customHeight="1">
      <x:c r="A67" s="33" t="str">
        <x:v>8.3</x:v>
      </x:c>
      <x:c r="B67" s="33" t="str">
        <x:v>Critério de sucesso principal</x:v>
      </x:c>
      <x:c r="C67" s="33" t="str">
        <x:v>GESTÃO DE PROJETOS &amp; PMBOK</x:v>
      </x:c>
      <x:c r="D67" s="33" t="str">
        <x:v>E90</x:v>
      </x:c>
      <x:c r="E67" s="33" t="str">
        <x:v>Parcial / a validar</x:v>
      </x:c>
      <x:c r="F67" s="33" t="str">
        <x:v>GTM-01</x:v>
      </x:c>
      <x:c r="G67" s="33" t="str">
        <x:v>Síntese do GTM; propostas sinalizadas no texto.</x:v>
      </x:c>
      <x:c r="H67" s="33" t="str">
        <x:v>DEC-04</x:v>
      </x:c>
      <x:c r="I67" s="33" t="str">
        <x:v>DST-02</x:v>
      </x:c>
    </x:row>
    <x:row r="68" ht="62" customHeight="1">
      <x:c r="A68" s="33" t="str">
        <x:v>8.4</x:v>
      </x:c>
      <x:c r="B68" s="33" t="str">
        <x:v>Decisão Go/No-Go</x:v>
      </x:c>
      <x:c r="C68" s="33" t="str">
        <x:v>GESTÃO DE PROJETOS &amp; PMBOK</x:v>
      </x:c>
      <x:c r="D68" s="33" t="str">
        <x:v>E91</x:v>
      </x:c>
      <x:c r="E68" s="33" t="str">
        <x:v>Parcial / a validar</x:v>
      </x:c>
      <x:c r="F68" s="33" t="str">
        <x:v>GTM-01</x:v>
      </x:c>
      <x:c r="G68" s="33" t="str">
        <x:v>Síntese do GTM; propostas sinalizadas no texto.</x:v>
      </x:c>
      <x:c r="H68" s="33" t="str">
        <x:v>DEC-01</x:v>
      </x:c>
      <x:c r="I68" s="33" t="str">
        <x:v>GOV-01;GOV-09</x:v>
      </x:c>
    </x:row>
    <x:row r="69" ht="62" customHeight="1">
      <x:c r="A69" s="33" t="str">
        <x:v>8.5</x:v>
      </x:c>
      <x:c r="B69" s="33" t="str">
        <x:v>Abordagem do projeto</x:v>
      </x:c>
      <x:c r="C69" s="33" t="str">
        <x:v>GESTÃO DE PROJETOS &amp; PMBOK</x:v>
      </x:c>
      <x:c r="D69" s="33" t="str">
        <x:v>E92</x:v>
      </x:c>
      <x:c r="E69" s="33" t="str">
        <x:v>Documentado</x:v>
      </x:c>
      <x:c r="F69" s="33" t="str">
        <x:v>GTM-04</x:v>
      </x:c>
      <x:c r="G69" s="33" t="str">
        <x:v>Síntese do GTM; propostas sinalizadas no texto.</x:v>
      </x:c>
      <x:c r="H69" s="33" t="str"/>
      <x:c r="I69" s="33" t="str"/>
    </x:row>
    <x:row r="70" ht="62" customHeight="1">
      <x:c r="A70" s="33" t="str">
        <x:v>9.1</x:v>
      </x:c>
      <x:c r="B70" s="33" t="str">
        <x:v>Objetivo estratégico (12+ meses)</x:v>
      </x:c>
      <x:c r="C70" s="33" t="str">
        <x:v>PLANEJAMENTO ESTRATÉGICO, TÁTICO E OPERACIONAL</x:v>
      </x:c>
      <x:c r="D70" s="33" t="str">
        <x:v>E96</x:v>
      </x:c>
      <x:c r="E70" s="33" t="str">
        <x:v>Parcial / a validar</x:v>
      </x:c>
      <x:c r="F70" s="33" t="str">
        <x:v>GTM-01</x:v>
      </x:c>
      <x:c r="G70" s="33" t="str">
        <x:v>Síntese do GTM; propostas sinalizadas no texto.</x:v>
      </x:c>
      <x:c r="H70" s="33" t="str"/>
      <x:c r="I70" s="33" t="str"/>
    </x:row>
    <x:row r="71" ht="62" customHeight="1">
      <x:c r="A71" s="33" t="str">
        <x:v>9.2</x:v>
      </x:c>
      <x:c r="B71" s="33" t="str">
        <x:v>Objetivo tático (trimestre/ciclo)</x:v>
      </x:c>
      <x:c r="C71" s="33" t="str">
        <x:v>PLANEJAMENTO ESTRATÉGICO, TÁTICO E OPERACIONAL</x:v>
      </x:c>
      <x:c r="D71" s="33" t="str">
        <x:v>E97</x:v>
      </x:c>
      <x:c r="E71" s="33" t="str">
        <x:v>Documentado</x:v>
      </x:c>
      <x:c r="F71" s="33" t="str">
        <x:v>GTM-01;GTM-03</x:v>
      </x:c>
      <x:c r="G71" s="33" t="str">
        <x:v>Síntese do GTM; propostas sinalizadas no texto.</x:v>
      </x:c>
      <x:c r="H71" s="33" t="str"/>
      <x:c r="I71" s="33" t="str"/>
    </x:row>
    <x:row r="72" ht="62" customHeight="1">
      <x:c r="A72" s="33" t="str">
        <x:v>9.3</x:v>
      </x:c>
      <x:c r="B72" s="33" t="str">
        <x:v>Prioridade operacional da semana</x:v>
      </x:c>
      <x:c r="C72" s="33" t="str">
        <x:v>PLANEJAMENTO ESTRATÉGICO, TÁTICO E OPERACIONAL</x:v>
      </x:c>
      <x:c r="D72" s="33" t="str">
        <x:v>E98</x:v>
      </x:c>
      <x:c r="E72" s="33" t="str">
        <x:v>Proposta a validar</x:v>
      </x:c>
      <x:c r="F72" s="33" t="str">
        <x:v>GTM-03;GTM-09</x:v>
      </x:c>
      <x:c r="G72" s="33" t="str">
        <x:v>Síntese do GTM; propostas sinalizadas no texto.</x:v>
      </x:c>
      <x:c r="H72" s="33" t="str"/>
      <x:c r="I72" s="33" t="str"/>
    </x:row>
    <x:row r="73" ht="62" customHeight="1">
      <x:c r="A73" s="33" t="str">
        <x:v>9.4</x:v>
      </x:c>
      <x:c r="B73" s="33" t="str">
        <x:v>Dependência entre horizontes</x:v>
      </x:c>
      <x:c r="C73" s="33" t="str">
        <x:v>PLANEJAMENTO ESTRATÉGICO, TÁTICO E OPERACIONAL</x:v>
      </x:c>
      <x:c r="D73" s="33" t="str">
        <x:v>E99</x:v>
      </x:c>
      <x:c r="E73" s="33" t="str">
        <x:v>Documentado</x:v>
      </x:c>
      <x:c r="F73" s="33" t="str">
        <x:v>GTM-01;GTM-04</x:v>
      </x:c>
      <x:c r="G73" s="33" t="str">
        <x:v>Síntese do GTM; propostas sinalizadas no texto.</x:v>
      </x:c>
      <x:c r="H73" s="33" t="str"/>
      <x:c r="I73" s="33" t="str"/>
    </x:row>
    <x:row r="74" ht="62" customHeight="1">
      <x:c r="A74" s="33" t="str">
        <x:v>10.1</x:v>
      </x:c>
      <x:c r="B74" s="33" t="str">
        <x:v>Marco de médio prazo #1</x:v>
      </x:c>
      <x:c r="C74" s="33" t="str">
        <x:v>ROADMAP, CRONOGRAMA, CICLOS E BACKLOG</x:v>
      </x:c>
      <x:c r="D74" s="33" t="str">
        <x:v>E103</x:v>
      </x:c>
      <x:c r="E74" s="33" t="str">
        <x:v>Parcial / a validar</x:v>
      </x:c>
      <x:c r="F74" s="33" t="str">
        <x:v>GTM-03</x:v>
      </x:c>
      <x:c r="G74" s="33" t="str">
        <x:v>Síntese do GTM; propostas sinalizadas no texto.</x:v>
      </x:c>
      <x:c r="H74" s="33" t="str">
        <x:v>DEC-01</x:v>
      </x:c>
      <x:c r="I74" s="33" t="str">
        <x:v>GOV-03</x:v>
      </x:c>
    </x:row>
    <x:row r="75" ht="62" customHeight="1">
      <x:c r="A75" s="33" t="str">
        <x:v>10.2</x:v>
      </x:c>
      <x:c r="B75" s="33" t="str">
        <x:v>Ciclo semanal atual</x:v>
      </x:c>
      <x:c r="C75" s="33" t="str">
        <x:v>ROADMAP, CRONOGRAMA, CICLOS E BACKLOG</x:v>
      </x:c>
      <x:c r="D75" s="33" t="str">
        <x:v>E104</x:v>
      </x:c>
      <x:c r="E75" s="33" t="str">
        <x:v>Parcial / a validar</x:v>
      </x:c>
      <x:c r="F75" s="33" t="str">
        <x:v>GTM-03</x:v>
      </x:c>
      <x:c r="G75" s="33" t="str">
        <x:v>Síntese do GTM; propostas sinalizadas no texto.</x:v>
      </x:c>
      <x:c r="H75" s="33" t="str"/>
      <x:c r="I75" s="33" t="str"/>
    </x:row>
    <x:row r="76" ht="62" customHeight="1">
      <x:c r="A76" s="33" t="str">
        <x:v>10.3</x:v>
      </x:c>
      <x:c r="B76" s="33" t="str">
        <x:v>Item de backlog crítico</x:v>
      </x:c>
      <x:c r="C76" s="33" t="str">
        <x:v>ROADMAP, CRONOGRAMA, CICLOS E BACKLOG</x:v>
      </x:c>
      <x:c r="D76" s="33" t="str">
        <x:v>E105</x:v>
      </x:c>
      <x:c r="E76" s="33" t="str">
        <x:v>Proposta a validar</x:v>
      </x:c>
      <x:c r="F76" s="33" t="str">
        <x:v>GTM-09;GTM-16</x:v>
      </x:c>
      <x:c r="G76" s="33" t="str">
        <x:v>Síntese do GTM; propostas sinalizadas no texto.</x:v>
      </x:c>
      <x:c r="H76" s="33" t="str"/>
      <x:c r="I76" s="33" t="str"/>
    </x:row>
    <x:row r="77" ht="62" customHeight="1">
      <x:c r="A77" s="33" t="str">
        <x:v>10.4</x:v>
      </x:c>
      <x:c r="B77" s="33" t="str">
        <x:v>Cadência de revisão</x:v>
      </x:c>
      <x:c r="C77" s="33" t="str">
        <x:v>ROADMAP, CRONOGRAMA, CICLOS E BACKLOG</x:v>
      </x:c>
      <x:c r="D77" s="33" t="str">
        <x:v>E106</x:v>
      </x:c>
      <x:c r="E77" s="33" t="str">
        <x:v>Parcial / a validar</x:v>
      </x:c>
      <x:c r="F77" s="33" t="str">
        <x:v>GTM-03;GTM-04</x:v>
      </x:c>
      <x:c r="G77" s="33" t="str">
        <x:v>Síntese do GTM; propostas sinalizadas no texto.</x:v>
      </x:c>
      <x:c r="H77" s="33" t="str">
        <x:v>DEC-01</x:v>
      </x:c>
      <x:c r="I77" s="33" t="str">
        <x:v>GOV-03;DST-08</x:v>
      </x:c>
    </x:row>
    <x:row r="78" ht="62" customHeight="1">
      <x:c r="A78" s="33" t="str">
        <x:v>11.1</x:v>
      </x:c>
      <x:c r="B78" s="33" t="str">
        <x:v>Linha editorial</x:v>
      </x:c>
      <x:c r="C78" s="33" t="str">
        <x:v>EDITORIAL, CAMPANHAS E CONTEÚDO</x:v>
      </x:c>
      <x:c r="D78" s="33" t="str">
        <x:v>E110</x:v>
      </x:c>
      <x:c r="E78" s="33" t="str">
        <x:v>Documentado</x:v>
      </x:c>
      <x:c r="F78" s="33" t="str">
        <x:v>GTM-01</x:v>
      </x:c>
      <x:c r="G78" s="33" t="str">
        <x:v>Síntese do GTM; propostas sinalizadas no texto.</x:v>
      </x:c>
      <x:c r="H78" s="33" t="str">
        <x:v>DEC-10</x:v>
      </x:c>
      <x:c r="I78" s="33" t="str">
        <x:v>EDT-01;EDT-02;PACK-01-BRIEF;PACK-02-BRIEF;PACK-03-BRIEF</x:v>
      </x:c>
    </x:row>
    <x:row r="79" ht="62" customHeight="1">
      <x:c r="A79" s="33" t="str">
        <x:v>11.2</x:v>
      </x:c>
      <x:c r="B79" s="33" t="str">
        <x:v>Calendário de publicação</x:v>
      </x:c>
      <x:c r="C79" s="33" t="str">
        <x:v>EDITORIAL, CAMPANHAS E CONTEÚDO</x:v>
      </x:c>
      <x:c r="D79" s="33" t="str">
        <x:v>E111</x:v>
      </x:c>
      <x:c r="E79" s="33" t="str">
        <x:v>Parcial / a validar</x:v>
      </x:c>
      <x:c r="F79" s="33" t="str">
        <x:v>GTM-03;GTM-05</x:v>
      </x:c>
      <x:c r="G79" s="33" t="str">
        <x:v>Síntese do GTM; propostas sinalizadas no texto.</x:v>
      </x:c>
      <x:c r="H79" s="33" t="str"/>
      <x:c r="I79" s="33" t="str">
        <x:v>Filtrar Campos canônicos em 11_Plano_Projeto por 11.2 (145 tarefas).</x:v>
      </x:c>
    </x:row>
    <x:row r="80" ht="62" customHeight="1">
      <x:c r="A80" s="33" t="str">
        <x:v>11.3</x:v>
      </x:c>
      <x:c r="B80" s="33" t="str">
        <x:v>Campanha ativa</x:v>
      </x:c>
      <x:c r="C80" s="33" t="str">
        <x:v>EDITORIAL, CAMPANHAS E CONTEÚDO</x:v>
      </x:c>
      <x:c r="D80" s="33" t="str">
        <x:v>E112</x:v>
      </x:c>
      <x:c r="E80" s="33" t="str">
        <x:v>Parcial / a validar</x:v>
      </x:c>
      <x:c r="F80" s="33" t="str">
        <x:v>GTM-01</x:v>
      </x:c>
      <x:c r="G80" s="33" t="str">
        <x:v>Síntese do GTM; propostas sinalizadas no texto.</x:v>
      </x:c>
      <x:c r="H80" s="33" t="str"/>
      <x:c r="I80" s="33" t="str">
        <x:v>EDT-02</x:v>
      </x:c>
    </x:row>
    <x:row r="81" ht="62" customHeight="1">
      <x:c r="A81" s="33" t="str">
        <x:v>11.4</x:v>
      </x:c>
      <x:c r="B81" s="33" t="str">
        <x:v>Trilha de conteúdo</x:v>
      </x:c>
      <x:c r="C81" s="33" t="str">
        <x:v>EDITORIAL, CAMPANHAS E CONTEÚDO</x:v>
      </x:c>
      <x:c r="D81" s="33" t="str">
        <x:v>E113</x:v>
      </x:c>
      <x:c r="E81" s="33" t="str">
        <x:v>Parcial / a validar</x:v>
      </x:c>
      <x:c r="F81" s="33" t="str">
        <x:v>GTM-01;GTM-02</x:v>
      </x:c>
      <x:c r="G81" s="33" t="str">
        <x:v>Síntese do GTM; propostas sinalizadas no texto.</x:v>
      </x:c>
      <x:c r="H81" s="33" t="str">
        <x:v>DEC-10</x:v>
      </x:c>
      <x:c r="I81" s="33" t="str">
        <x:v>EDT-01;QF-02;PACK-01-BRIEF;PACK-02-BRIEF;PACK-03-BRIEF</x:v>
      </x:c>
    </x:row>
    <x:row r="82" ht="62" customHeight="1">
      <x:c r="A82" s="33" t="str">
        <x:v>12.1</x:v>
      </x:c>
      <x:c r="B82" s="33" t="str">
        <x:v>Stakeholder principal</x:v>
      </x:c>
      <x:c r="C82" s="33" t="str">
        <x:v>STAKEHOLDERS</x:v>
      </x:c>
      <x:c r="D82" s="33" t="str">
        <x:v>E117</x:v>
      </x:c>
      <x:c r="E82" s="33" t="str">
        <x:v>Parcial / a validar</x:v>
      </x:c>
      <x:c r="F82" s="33" t="str">
        <x:v>GTM-01;GTM-11</x:v>
      </x:c>
      <x:c r="G82" s="33" t="str">
        <x:v>Síntese do GTM; propostas sinalizadas no texto.</x:v>
      </x:c>
      <x:c r="H82" s="33" t="str"/>
      <x:c r="I82" s="33" t="str"/>
    </x:row>
    <x:row r="83" ht="62" customHeight="1">
      <x:c r="A83" s="33" t="str">
        <x:v>12.2</x:v>
      </x:c>
      <x:c r="B83" s="33" t="str">
        <x:v>Forma de comunicação</x:v>
      </x:c>
      <x:c r="C83" s="33" t="str">
        <x:v>STAKEHOLDERS</x:v>
      </x:c>
      <x:c r="D83" s="33" t="str">
        <x:v>E118</x:v>
      </x:c>
      <x:c r="E83" s="33" t="str">
        <x:v>Documentado</x:v>
      </x:c>
      <x:c r="F83" s="33" t="str">
        <x:v>GTM-01;GTM-04</x:v>
      </x:c>
      <x:c r="G83" s="33" t="str">
        <x:v>Síntese do GTM; propostas sinalizadas no texto.</x:v>
      </x:c>
      <x:c r="H83" s="33" t="str"/>
      <x:c r="I83" s="33" t="str">
        <x:v>DST-07</x:v>
      </x:c>
    </x:row>
    <x:row r="84" ht="62" customHeight="1">
      <x:c r="A84" s="33" t="str">
        <x:v>12.3</x:v>
      </x:c>
      <x:c r="B84" s="33" t="str">
        <x:v>Expectativa não alinhada</x:v>
      </x:c>
      <x:c r="C84" s="33" t="str">
        <x:v>STAKEHOLDERS</x:v>
      </x:c>
      <x:c r="D84" s="33" t="str">
        <x:v>E119</x:v>
      </x:c>
      <x:c r="E84" s="33" t="str">
        <x:v>Parcial / a validar</x:v>
      </x:c>
      <x:c r="F84" s="33" t="str">
        <x:v>GTM-01;GTM-03;GTM-09;GTM-10</x:v>
      </x:c>
      <x:c r="G84" s="33" t="str">
        <x:v>Síntese do GTM; propostas sinalizadas no texto.</x:v>
      </x:c>
      <x:c r="H84" s="33" t="str"/>
      <x:c r="I84" s="33" t="str"/>
    </x:row>
    <x:row r="85" ht="62" customHeight="1">
      <x:c r="A85" s="33" t="str">
        <x:v>13.1</x:v>
      </x:c>
      <x:c r="B85" s="33" t="str">
        <x:v>Runbook crítico #1</x:v>
      </x:c>
      <x:c r="C85" s="33" t="str">
        <x:v>RUNBOOKS, SOPS E ROTINAS</x:v>
      </x:c>
      <x:c r="D85" s="33" t="str">
        <x:v>E123</x:v>
      </x:c>
      <x:c r="E85" s="33" t="str">
        <x:v>Parcial / a validar</x:v>
      </x:c>
      <x:c r="F85" s="33" t="str">
        <x:v>GTM-01;GTM-04</x:v>
      </x:c>
      <x:c r="G85" s="33" t="str">
        <x:v>Síntese do GTM; propostas sinalizadas no texto.</x:v>
      </x:c>
      <x:c r="H85" s="33" t="str"/>
      <x:c r="I85" s="33" t="str">
        <x:v>EDT-03;AGT-06</x:v>
      </x:c>
    </x:row>
    <x:row r="86" ht="62" customHeight="1">
      <x:c r="A86" s="33" t="str">
        <x:v>13.2</x:v>
      </x:c>
      <x:c r="B86" s="33" t="str">
        <x:v>Responsável pela rotina</x:v>
      </x:c>
      <x:c r="C86" s="33" t="str">
        <x:v>RUNBOOKS, SOPS E ROTINAS</x:v>
      </x:c>
      <x:c r="D86" s="33" t="str">
        <x:v>E124</x:v>
      </x:c>
      <x:c r="E86" s="33" t="str">
        <x:v>Parcial / a validar</x:v>
      </x:c>
      <x:c r="F86" s="33" t="str">
        <x:v>GTM-01</x:v>
      </x:c>
      <x:c r="G86" s="33" t="str">
        <x:v>Síntese do GTM; propostas sinalizadas no texto.</x:v>
      </x:c>
      <x:c r="H86" s="33" t="str">
        <x:v>DEC-03</x:v>
      </x:c>
      <x:c r="I86" s="33" t="str">
        <x:v>GOV-02;DST-07</x:v>
      </x:c>
    </x:row>
    <x:row r="87" ht="62" customHeight="1">
      <x:c r="A87" s="33" t="str">
        <x:v>13.3</x:v>
      </x:c>
      <x:c r="B87" s="33" t="str">
        <x:v>SOP documentado?</x:v>
      </x:c>
      <x:c r="C87" s="33" t="str">
        <x:v>RUNBOOKS, SOPS E ROTINAS</x:v>
      </x:c>
      <x:c r="D87" s="33" t="str">
        <x:v>E125</x:v>
      </x:c>
      <x:c r="E87" s="33" t="str">
        <x:v>Parcial / a validar</x:v>
      </x:c>
      <x:c r="F87" s="33" t="str">
        <x:v>GTM-01</x:v>
      </x:c>
      <x:c r="G87" s="33" t="str">
        <x:v>Síntese do GTM; propostas sinalizadas no texto.</x:v>
      </x:c>
      <x:c r="H87" s="33" t="str">
        <x:v>DEC-05</x:v>
      </x:c>
      <x:c r="I87" s="33" t="str">
        <x:v>EDT-03</x:v>
      </x:c>
    </x:row>
    <x:row r="88" ht="62" customHeight="1">
      <x:c r="A88" s="33" t="str">
        <x:v>14.1</x:v>
      </x:c>
      <x:c r="B88" s="33" t="str">
        <x:v>Fonte de evidência principal</x:v>
      </x:c>
      <x:c r="C88" s="33" t="str">
        <x:v>PESQUISA, DADOS E CONHECIMENTO</x:v>
      </x:c>
      <x:c r="D88" s="33" t="str">
        <x:v>E129</x:v>
      </x:c>
      <x:c r="E88" s="33" t="str">
        <x:v>Parcial / a validar</x:v>
      </x:c>
      <x:c r="F88" s="33" t="str">
        <x:v>GTM-02;GTM-12</x:v>
      </x:c>
      <x:c r="G88" s="33" t="str">
        <x:v>Síntese do GTM; propostas sinalizadas no texto.</x:v>
      </x:c>
      <x:c r="H88" s="33" t="str">
        <x:v>DEC-05</x:v>
      </x:c>
      <x:c r="I88" s="33" t="str">
        <x:v>GOV-05;PACK-01-PESQ;PACK-02-PESQ;PACK-03-PESQ</x:v>
      </x:c>
    </x:row>
    <x:row r="89" ht="62" customHeight="1">
      <x:c r="A89" s="33" t="str">
        <x:v>14.2</x:v>
      </x:c>
      <x:c r="B89" s="33" t="str">
        <x:v>Pesquisa/dado pendente</x:v>
      </x:c>
      <x:c r="C89" s="33" t="str">
        <x:v>PESQUISA, DADOS E CONHECIMENTO</x:v>
      </x:c>
      <x:c r="D89" s="33" t="str">
        <x:v>E130</x:v>
      </x:c>
      <x:c r="E89" s="33" t="str">
        <x:v>Documentado</x:v>
      </x:c>
      <x:c r="F89" s="33" t="str">
        <x:v>GTM-02;GTM-14</x:v>
      </x:c>
      <x:c r="G89" s="33" t="str">
        <x:v>Síntese do GTM; propostas sinalizadas no texto.</x:v>
      </x:c>
      <x:c r="H89" s="33" t="str"/>
      <x:c r="I89" s="33" t="str">
        <x:v>QF-01</x:v>
      </x:c>
    </x:row>
    <x:row r="90" ht="62" customHeight="1">
      <x:c r="A90" s="33" t="str">
        <x:v>14.3</x:v>
      </x:c>
      <x:c r="B90" s="33" t="str">
        <x:v>Papel de agentes de IA no projeto</x:v>
      </x:c>
      <x:c r="C90" s="33" t="str">
        <x:v>PESQUISA, DADOS E CONHECIMENTO</x:v>
      </x:c>
      <x:c r="D90" s="33" t="str">
        <x:v>E131</x:v>
      </x:c>
      <x:c r="E90" s="33" t="str">
        <x:v>Parcial / a validar</x:v>
      </x:c>
      <x:c r="F90" s="33" t="str">
        <x:v>GTM-02;GTM-07</x:v>
      </x:c>
      <x:c r="G90" s="33" t="str">
        <x:v>Síntese do GTM; propostas sinalizadas no texto.</x:v>
      </x:c>
      <x:c r="H90" s="33" t="str"/>
      <x:c r="I90" s="33" t="str">
        <x:v>AGT-01</x:v>
      </x:c>
    </x:row>
    <x:row r="91" ht="62" customHeight="1">
      <x:c r="A91" s="33" t="str">
        <x:v>15.1</x:v>
      </x:c>
      <x:c r="B91" s="33" t="str">
        <x:v>Skill/plugin principal em uso</x:v>
      </x:c>
      <x:c r="C91" s="33" t="str">
        <x:v>SKILLS, PLUGINS E FERRAMENTAS</x:v>
      </x:c>
      <x:c r="D91" s="33" t="str">
        <x:v>E135</x:v>
      </x:c>
      <x:c r="E91" s="33" t="str">
        <x:v>Parcial / a validar</x:v>
      </x:c>
      <x:c r="F91" s="33" t="str">
        <x:v>GTM-01</x:v>
      </x:c>
      <x:c r="G91" s="33" t="str">
        <x:v>Síntese do GTM; propostas sinalizadas no texto.</x:v>
      </x:c>
      <x:c r="H91" s="33" t="str"/>
      <x:c r="I91" s="33" t="str">
        <x:v>AGT-02</x:v>
      </x:c>
    </x:row>
    <x:row r="92" ht="62" customHeight="1">
      <x:c r="A92" s="33" t="str">
        <x:v>15.2</x:v>
      </x:c>
      <x:c r="B92" s="33" t="str">
        <x:v>Ferramenta de automação conectada</x:v>
      </x:c>
      <x:c r="C92" s="33" t="str">
        <x:v>SKILLS, PLUGINS E FERRAMENTAS</x:v>
      </x:c>
      <x:c r="D92" s="33" t="str">
        <x:v>E136</x:v>
      </x:c>
      <x:c r="E92" s="33" t="str">
        <x:v>Parcial / a validar</x:v>
      </x:c>
      <x:c r="F92" s="33" t="str">
        <x:v>GTM-10</x:v>
      </x:c>
      <x:c r="G92" s="33" t="str">
        <x:v>Síntese do GTM; propostas sinalizadas no texto.</x:v>
      </x:c>
      <x:c r="H92" s="33" t="str">
        <x:v>DEC-11</x:v>
      </x:c>
      <x:c r="I92" s="33" t="str">
        <x:v>BLOG-08;DST-04</x:v>
      </x:c>
    </x:row>
    <x:row r="93" ht="62" customHeight="1">
      <x:c r="A93" s="33" t="str">
        <x:v>15.3</x:v>
      </x:c>
      <x:c r="B93" s="33" t="str">
        <x:v>Lacuna de ferramenta</x:v>
      </x:c>
      <x:c r="C93" s="33" t="str">
        <x:v>SKILLS, PLUGINS E FERRAMENTAS</x:v>
      </x:c>
      <x:c r="D93" s="33" t="str">
        <x:v>E137</x:v>
      </x:c>
      <x:c r="E93" s="33" t="str">
        <x:v>Documentado</x:v>
      </x:c>
      <x:c r="F93" s="33" t="str">
        <x:v>GTM-15;GTM-16</x:v>
      </x:c>
      <x:c r="G93" s="33" t="str">
        <x:v>Síntese do GTM; propostas sinalizadas no texto.</x:v>
      </x:c>
      <x:c r="H93" s="33" t="str">
        <x:v>DEC-09</x:v>
      </x:c>
      <x:c r="I93" s="33" t="str">
        <x:v>AGT-07</x:v>
      </x:c>
    </x:row>
    <x:row r="94" ht="62" customHeight="1">
      <x:c r="A94" s="33" t="str">
        <x:v>16.1</x:v>
      </x:c>
      <x:c r="B94" s="33" t="str">
        <x:v>Plataforma principal</x:v>
      </x:c>
      <x:c r="C94" s="33" t="str">
        <x:v>PLATAFORMAS, CONTAS E IDENTIFICADORES</x:v>
      </x:c>
      <x:c r="D94" s="33" t="str">
        <x:v>E141</x:v>
      </x:c>
      <x:c r="E94" s="33" t="str">
        <x:v>Parcial / a validar</x:v>
      </x:c>
      <x:c r="F94" s="33" t="str">
        <x:v>GTM-01;GTM-02;GTM-10</x:v>
      </x:c>
      <x:c r="G94" s="33" t="str">
        <x:v>Síntese do GTM; propostas sinalizadas no texto.</x:v>
      </x:c>
      <x:c r="H94" s="33" t="str"/>
      <x:c r="I94" s="33" t="str"/>
    </x:row>
    <x:row r="95" ht="62" customHeight="1">
      <x:c r="A95" s="33" t="str">
        <x:v>16.2</x:v>
      </x:c>
      <x:c r="B95" s="33" t="str">
        <x:v>Link/atalho crítico</x:v>
      </x:c>
      <x:c r="C95" s="33" t="str">
        <x:v>PLATAFORMAS, CONTAS E IDENTIFICADORES</x:v>
      </x:c>
      <x:c r="D95" s="33" t="str">
        <x:v>E142</x:v>
      </x:c>
      <x:c r="E95" s="33" t="str">
        <x:v>Parcial / a validar</x:v>
      </x:c>
      <x:c r="F95" s="33" t="str">
        <x:v>GTM-16</x:v>
      </x:c>
      <x:c r="G95" s="33" t="str">
        <x:v>Síntese do GTM; propostas sinalizadas no texto.</x:v>
      </x:c>
      <x:c r="H95" s="33" t="str"/>
      <x:c r="I95" s="33" t="str"/>
    </x:row>
    <x:row r="96" ht="62" customHeight="1">
      <x:c r="A96" s="33" t="str">
        <x:v>16.3</x:v>
      </x:c>
      <x:c r="B96" s="33" t="str">
        <x:v>Responsável pela conta</x:v>
      </x:c>
      <x:c r="C96" s="33" t="str">
        <x:v>PLATAFORMAS, CONTAS E IDENTIFICADORES</x:v>
      </x:c>
      <x:c r="D96" s="33" t="str">
        <x:v>E143</x:v>
      </x:c>
      <x:c r="E96" s="33" t="str">
        <x:v>Não informado</x:v>
      </x:c>
      <x:c r="F96" s="33" t="str">
        <x:v>GTM-01;GTM-02</x:v>
      </x:c>
      <x:c r="G96" s="33" t="str">
        <x:v>Ausência na fonte; não inferir valor.</x:v>
      </x:c>
      <x:c r="H96" s="33" t="str">
        <x:v>DEC-03</x:v>
      </x:c>
      <x:c r="I96" s="33" t="str">
        <x:v>GOV-02;DST-04</x:v>
      </x:c>
    </x:row>
    <x:row r="97" ht="62" customHeight="1">
      <x:c r="A97" s="33" t="str">
        <x:v>17.1</x:v>
      </x:c>
      <x:c r="B97" s="33" t="str">
        <x:v>Prompt canônico principal</x:v>
      </x:c>
      <x:c r="C97" s="33" t="str">
        <x:v>PROMPT ENGINEERING &amp; COMANDOS</x:v>
      </x:c>
      <x:c r="D97" s="33" t="str">
        <x:v>E147</x:v>
      </x:c>
      <x:c r="E97" s="33" t="str">
        <x:v>Parcial / a validar</x:v>
      </x:c>
      <x:c r="F97" s="33" t="str">
        <x:v>GTM-17</x:v>
      </x:c>
      <x:c r="G97" s="33" t="str">
        <x:v>Síntese do GTM; propostas sinalizadas no texto.</x:v>
      </x:c>
      <x:c r="H97" s="33" t="str"/>
      <x:c r="I97" s="33" t="str"/>
    </x:row>
    <x:row r="98" ht="62" customHeight="1">
      <x:c r="A98" s="33" t="str">
        <x:v>17.2</x:v>
      </x:c>
      <x:c r="B98" s="33" t="str">
        <x:v>Comando/gatilho operacional</x:v>
      </x:c>
      <x:c r="C98" s="33" t="str">
        <x:v>PROMPT ENGINEERING &amp; COMANDOS</x:v>
      </x:c>
      <x:c r="D98" s="33" t="str">
        <x:v>E148</x:v>
      </x:c>
      <x:c r="E98" s="33" t="str">
        <x:v>Parcial / a validar</x:v>
      </x:c>
      <x:c r="F98" s="33" t="str">
        <x:v>GTM-16</x:v>
      </x:c>
      <x:c r="G98" s="33" t="str">
        <x:v>Síntese do GTM; propostas sinalizadas no texto.</x:v>
      </x:c>
      <x:c r="H98" s="33" t="str"/>
      <x:c r="I98" s="33" t="str"/>
    </x:row>
    <x:row r="99" ht="62" customHeight="1">
      <x:c r="A99" s="33" t="str">
        <x:v>17.3</x:v>
      </x:c>
      <x:c r="B99" s="33" t="str">
        <x:v>Regra anti-alucinação específica</x:v>
      </x:c>
      <x:c r="C99" s="33" t="str">
        <x:v>PROMPT ENGINEERING &amp; COMANDOS</x:v>
      </x:c>
      <x:c r="D99" s="33" t="str">
        <x:v>E149</x:v>
      </x:c>
      <x:c r="E99" s="33" t="str">
        <x:v>Parcial / a validar</x:v>
      </x:c>
      <x:c r="F99" s="33" t="str">
        <x:v>GTM-14;GTM-15</x:v>
      </x:c>
      <x:c r="G99" s="33" t="str">
        <x:v>Síntese do GTM; propostas sinalizadas no texto.</x:v>
      </x:c>
      <x:c r="H99" s="33" t="str">
        <x:v>DEC-09</x:v>
      </x:c>
      <x:c r="I99" s="33" t="str">
        <x:v>SCH-02;SCH-07;QF-01;QF-06;PACK-01-PESQ;PACK-02-PESQ;PACK-03-PESQ</x:v>
      </x:c>
    </x:row>
  </x:sheetData>
  <x:pageMargins left="0.7" right="0.7" top="0.75" bottom="0.75" header="0.3" footer="0.3"/>
  <x:tableParts count="1">
    <x:tablePart xmlns:r="http://schemas.openxmlformats.org/officeDocument/2006/relationships" r:id="Rf388c5e6cef14926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18" hidden="0" customWidth="1"/>
    <x:col min="5" max="5" width="120" hidden="0" customWidth="1"/>
  </x:cols>
  <x:sheetData>
    <x:row r="1">
      <x:c r="A1" s="24"/>
      <x:c r="B1" s="24"/>
      <x:c r="C1" s="24"/>
      <x:c r="D1" s="24"/>
      <x:c r="E1" s="24"/>
    </x:row>
    <x:row r="2">
      <x:c r="A2" s="26" t="str">
        <x:v>Fonte documental e localização dos trechos</x:v>
      </x:c>
      <x:c r="B2" s="24"/>
      <x:c r="C2" s="24"/>
      <x:c r="D2" s="24"/>
      <x:c r="E2" s="24"/>
    </x:row>
    <x:row r="3">
      <x:c r="A3" s="24" t="str">
        <x:v>26-09-GTM-BLOG(1).md | SHA-256: 37758db6e9dbd758e17aeda15b262268cc3a8de89f0022ac3d1d6875c12ca69e</x:v>
      </x:c>
      <x:c r="B3" s="24"/>
      <x:c r="C3" s="24"/>
      <x:c r="D3" s="24"/>
      <x:c r="E3" s="24"/>
    </x:row>
    <x:row r="4">
      <x:c r="A4" s="24" t="str">
        <x:v>Espaços repetidos compactados para leitura. Conteúdo e números de linha preservados.</x:v>
      </x:c>
      <x:c r="B4" s="24"/>
      <x:c r="C4" s="24"/>
      <x:c r="D4" s="24"/>
      <x:c r="E4" s="24"/>
    </x:row>
    <x:row r="5" ht="32" customHeight="1">
      <x:c r="A5" s="32" t="str">
        <x:v>Fonte_ID</x:v>
      </x:c>
      <x:c r="B5" s="32" t="str">
        <x:v>Seção</x:v>
      </x:c>
      <x:c r="C5" s="32" t="str">
        <x:v>Linha inicial</x:v>
      </x:c>
      <x:c r="D5" s="32" t="str">
        <x:v>Linha final</x:v>
      </x:c>
      <x:c r="E5" s="32" t="str">
        <x:v>Trecho original</x:v>
      </x:c>
    </x:row>
    <x:row r="6" ht="210" customHeight="1">
      <x:c r="A6" s="33" t="str">
        <x:v>GTM-01</x:v>
      </x:c>
      <x:c r="B6" s="33" t="str">
        <x:v>Ficha da iniciativa</x:v>
      </x:c>
      <x:c r="C6" s="33" t="n">
        <x:v>2</x:v>
      </x:c>
      <x:c r="D6" s="33" t="n">
        <x:v>6</x:v>
      </x:c>
      <x:c r="E6" s="33" t="str">
        <x:v># Ficha de caracterizacao da Iniciativa. 
| | | |
| ----------------- | 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 | ------------------------------------------------------------------------------------------------------------------------------------------------------------------------------------------------------------------------------------------------------------------- |
</x:v>
      </x:c>
    </x:row>
    <x:row r="7" ht="210" customHeight="1">
      <x:c r="A7" s="33" t="str">
        <x:v>GTM-01</x:v>
      </x:c>
      <x:c r="B7" s="33" t="str">
        <x:v>Ficha da iniciativa</x:v>
      </x:c>
      <x:c r="C7" s="33" t="n">
        <x:v>7</x:v>
      </x:c>
      <x:c r="D7" s="33" t="n">
        <x:v>9</x:v>
      </x:c>
      <x:c r="E7" s="33" t="str">
        <x:v>| ID / Campo | Dimensão | Conteúdo |
| Identificação | Iniciativa | Blog Risco Cognitivo — Lançamento |
| Referência 01 | Anexo [ PD-CLB-20260906-F01-DOC-V01__process-doc-padrao-multiplataforma]- RC-CAMP-20260906-F01-RUN-V01__runbook-campanha-lancamento-tp001.m][- RC-CAMP-20260906-F01-UXP-V01__painel-sistema-mermaid-kpis-assets.md — painel operacional/visual da campanha, dependências, estados, calendário e KPIs.] | V1_Padronizaca do processo criativo. objetivo: Copiloto operacional deve ser o agente que me auxilia nesses workflow. [entrega meu processo de trabalho organzado ] |
</x:v>
      </x:c>
    </x:row>
    <x:row r="8" ht="210" customHeight="1">
      <x:c r="A8" s="33" t="str">
        <x:v>GTM-01</x:v>
      </x:c>
      <x:c r="B8" s="33" t="str">
        <x:v>Ficha da iniciativa</x:v>
      </x:c>
      <x:c r="C8" s="33" t="n">
        <x:v>10</x:v>
      </x:c>
      <x:c r="D8" s="33" t="n">
        <x:v>12</x:v>
      </x:c>
      <x:c r="E8" s="33" t="str">
        <x:v>| Referência 02 | Anexo [ PD-CLB-20260906-F01-DOC-V01__process-doc-padrao-multiplataforma] [Risco Cognitivo · ID: PEM-D16 · Versão: V1 · Administração/Desenvolvimento.] | Define a estrategia creator led-busniess/grow. + LINHA EDITORIAL |
| Estratégia | Anexo [ ] | Creator-Led Business Strategy Launch |
| 01 | Identificação [- plugins/copiloto-operacional/skills/copiloto-operacional/SKILL.md] | - UNico plugin de operacoes &lt;br&gt; &lt;br&gt;- Nome: copiloto-operacional&lt;br&gt;- Opera GitHub como fonte da verdade para tarefas, campanhas, relatórios, filas, ideias, progresso, conclusão, workflows, runbooks e reconciliação. |
</x:v>
      </x:c>
    </x:row>
    <x:row r="9" ht="210" customHeight="1">
      <x:c r="A9" s="33" t="str">
        <x:v>GTM-01</x:v>
      </x:c>
      <x:c r="B9" s="33" t="str">
        <x:v>Ficha da iniciativa</x:v>
      </x:c>
      <x:c r="C9" s="33" t="n">
        <x:v>13</x:v>
      </x:c>
      <x:c r="D9" s="33" t="n">
        <x:v>16</x:v>
      </x:c>
      <x:c r="E9" s="33" t="str">
        <x:v>| 02 | Tipo de iniciativa | Projeto. |
| 03 | Definição | Blog editorial e plataforma para neurodivergentes, voltados à gestão de projetos, processos neuroadaptativos e estratégias de gestão e controle de riscos cognitivos. |
| 03A | Problema | Existe falta de conhecimento técnico e didático, baseado em evidências, aplicado aos riscos cognitivos no contexto de trabalho e autogestão. |
| 03B | Oportunidade | Tema ainda pouco explorado, associado a uma demanda relevante por métodos, conhecimento e ferramentas aplicáveis à realidade de trabalhadores neurodivergentes. |
</x:v>
      </x:c>
    </x:row>
    <x:row r="10" ht="210" customHeight="1">
      <x:c r="A10" s="33" t="str">
        <x:v>GTM-01</x:v>
      </x:c>
      <x:c r="B10" s="33" t="str">
        <x:v>Ficha da iniciativa</x:v>
      </x:c>
      <x:c r="C10" s="33" t="n">
        <x:v>17</x:v>
      </x:c>
      <x:c r="D10" s="33" t="n">
        <x:v>19</x:v>
      </x:c>
      <x:c r="E10" s="33" t="str">
        <x:v>| 04–10 | Relação estratégica | O Blog está diretamente relacionado ao Programa EXECUTAR e ao Ecossistema, funcionando inicialmente como canal de divulgação, aquisição, experimentação e validação de demanda. |
| 04–10A | Papel no lançamento | O Blog deverá apresentar amostras beta das frentes editoriais, produtos, serviços, ferramentas e demais ativos do ecossistema. |
| 04–10B | Produtos correlacionados | O canal deverá apoiar a validação e os lançamentos de: 1. Executar App; 2. Executar Consultoria e Serviços; 3. Executar Marketplace; 4. Executar Comunidade/ONG; 5. Schola.ai; 6. Soluções posteriores. |
</x:v>
      </x:c>
    </x:row>
    <x:row r="11" ht="210" customHeight="1">
      <x:c r="A11" s="33" t="str">
        <x:v>GTM-01</x:v>
      </x:c>
      <x:c r="B11" s="33" t="str">
        <x:v>Ficha da iniciativa</x:v>
      </x:c>
      <x:c r="C11" s="33" t="n">
        <x:v>20</x:v>
      </x:c>
      <x:c r="D11" s="33" t="n">
        <x:v>22</x:v>
      </x:c>
      <x:c r="E11" s="33" t="str">
        <x:v>| 05 | Proposta de valor | Divulgar conhecimento técnico em linguagem prática e didática para um problema concreto e pouco atendido, direcionado principalmente ao trabalhador solo/autônomo neurodivergente com dificuldades de autogestão. |
| 05A | Valor entregue | A entrega deverá combinar conhecimento estruturado + assets, ferramentas e recursos práticos que possam ser aplicados na execução real do trabalho. |
| 06–07 | Resultados esperados | Validar interesse, utilidade, compartilhamento, adoção e demanda pelas soluções e conteúdos apresentados pelo ecossistema. |
</x:v>
      </x:c>
    </x:row>
    <x:row r="12" ht="210" customHeight="1">
      <x:c r="A12" s="33" t="str">
        <x:v>GTM-01</x:v>
      </x:c>
      <x:c r="B12" s="33" t="str">
        <x:v>Ficha da iniciativa</x:v>
      </x:c>
      <x:c r="C12" s="33" t="n">
        <x:v>23</x:v>
      </x:c>
      <x:c r="D12" s="33" t="n">
        <x:v>25</x:v>
      </x:c>
      <x:c r="E12" s="33" t="str">
        <x:v>| 06–07A | Métricas | 1. Downloads de assets no Blog e ecossistema social; 2. Taxas de compartilhamento das soluções; 3. Comentários e reviews das comunidades; 4. Métricas adicionais de aquisição, engajamento e desempenho associadas ao lançamento em mídias sociais. |
| 08–09 | Arquitetura do lançamento | O detalhamento granular deve ser associado aos ADRs específicos do lançamento. |
| #F0 | Fundação técnica | Blog ativo full stack, com dependências, integrações e plataformas necessárias configuradas. |
</x:v>
      </x:c>
    </x:row>
    <x:row r="13" ht="210" customHeight="1">
      <x:c r="A13" s="33" t="str">
        <x:v>GTM-01</x:v>
      </x:c>
      <x:c r="B13" s="33" t="str">
        <x:v>Ficha da iniciativa</x:v>
      </x:c>
      <x:c r="C13" s="33" t="n">
        <x:v>26</x:v>
      </x:c>
      <x:c r="D13" s="33" t="n">
        <x:v>34</x:v>
      </x:c>
      <x:c r="E13" s="33" t="str">
        <x:v>| #F1 | Fundação editorial | 3 packages dos pilares editoriais, relacionados aos níveis de consciência e à fórmula/equação granular do lançamento. |
| #F2 | Agente | Vera Agente. |
| #F3 | Loja | Loja Oficina. |
| #F4 | Ferramenta | Mapa Cognitivo. |
| #F5 | Produção | CMS de produção. |
| #F6 | Processo | Pipeline completo baseado no arquivo BPM / Qualidade. |
| #F7 | Capacidades | Relatório descritivo das skills, agentes e capacidades técnicas existentes. |
| #F8 | Operação | Workbook final consolidado para iniciar a produção. |
| 11–15 | Caracterização complementar | TBD — a definir. |
</x:v>
      </x:c>
    </x:row>
    <x:row r="14" ht="210" customHeight="1">
      <x:c r="A14" s="33" t="str">
        <x:v>GTM-01</x:v>
      </x:c>
      <x:c r="B14" s="33" t="str">
        <x:v>Ficha da iniciativa</x:v>
      </x:c>
      <x:c r="C14" s="33" t="n">
        <x:v>35</x:v>
      </x:c>
      <x:c r="D14" s="33" t="n">
        <x:v>40</x:v>
      </x:c>
      <x:c r="E14" s="33" t="str">
        <x:v>| 16–17 | Caracterização complementar | TBD — a definir. |
| 18 | Caracterização complementar | TBD — a definir. |
| 18–19 | Riscos principais | Overkill; baixa eficiência; retrabalho; componentes sem aplicabilidade prática; riscos de código, arquitetura e engenharia. |
| 20 | Caracterização complementar | TBD — a definir. |
| 21 | Caracterização complementar | TBD — a definir. |
| 22 | Caracterização complementar | TBD — a definir. |
</x:v>
      </x:c>
    </x:row>
    <x:row r="15" ht="210" customHeight="1">
      <x:c r="A15" s="33" t="str">
        <x:v>GTM-01</x:v>
      </x:c>
      <x:c r="B15" s="33" t="str">
        <x:v>Ficha da iniciativa</x:v>
      </x:c>
      <x:c r="C15" s="33" t="n">
        <x:v>41</x:v>
      </x:c>
      <x:c r="D15" s="33" t="n">
        <x:v>42</x:v>
      </x:c>
      <x:c r="E15" s="33" t="str">
        <x:v>| Objetivo | Situação — S | O Blog Riscos Cognitivos parte da necessidade de compreender e tratar os riscos cognitivos associados ao trabalho. O primeiro pilar estabelece a base conceitual: definições, manifestações, implicações práticas e relevância para o desenho e gestão do trabalho. |
| Objetivo | Complicação — C | Compreender os riscos cognitivos não é suficiente. Como eles podem ser criados ou ampliados pela estrutura do trabalho, processos, decisões e interações, é necessário transformar o conhecimento em uma metodologia de intervenção sobre o sistema de trabalho. |
</x:v>
      </x:c>
    </x:row>
    <x:row r="16" ht="210" customHeight="1">
      <x:c r="A16" s="33" t="str">
        <x:v>GTM-01</x:v>
      </x:c>
      <x:c r="B16" s="33" t="str">
        <x:v>Ficha da iniciativa</x:v>
      </x:c>
      <x:c r="C16" s="33" t="n">
        <x:v>43</x:v>
      </x:c>
      <x:c r="D16" s="33" t="n">
        <x:v>45</x:v>
      </x:c>
      <x:c r="E16" s="33" t="str">
        <x:v>| Objetivo | Questão — Q | Como transformar conhecimento sobre riscos cognitivos em processos de trabalho mais seguros e neuroadaptativos e, posteriormente, operacionalizar esses processos por meio de soluções concretas? |
| Objetivo | Resposta — A | Organizar a estratégia em três pilares integrados: Riscos Cognitivos → Processos Neuroadaptativos → Ferramentas e Soluções. |
| Pilar 1 | Riscos Cognitivos — Problema | Definições, fundamentos, tipos de riscos, causas, impactos e implicações práticas. |
</x:v>
      </x:c>
    </x:row>
    <x:row r="17" ht="210" customHeight="1">
      <x:c r="A17" s="33" t="str">
        <x:v>GTM-01</x:v>
      </x:c>
      <x:c r="B17" s="33" t="str">
        <x:v>Ficha da iniciativa</x:v>
      </x:c>
      <x:c r="C17" s="33" t="n">
        <x:v>46</x:v>
      </x:c>
      <x:c r="D17" s="33" t="n">
        <x:v>49</x:v>
      </x:c>
      <x:c r="E17" s="33" t="str">
        <x:v>| Pilar 2 | Processos Neuroadaptativos — Método | Gestão de processos, BPM, análise e auditoria, desenho e redesenho de processos, runbooks, terminologia e princípios para transformar processos convencionais em processos neuroadaptativos. |
| Pilar 3 | Ferramentas e Soluções — Aplicação | Tecnologias, ferramentas, métodos e soluções para operacionalizar a metodologia, incluindo EXECUTAR, MapOS e demais recursos do ecossistema. |
| Arquitetura final | Lógica estratégica | Problema → Método → Aplicação |
| Arquitetura final | Formulação específica | Riscos Cognitivos → Processos Neuroadaptativos → Ferramentas e Soluções |
</x:v>
      </x:c>
    </x:row>
    <x:row r="18" ht="210" customHeight="1">
      <x:c r="A18" s="33" t="str">
        <x:v>GTM-01</x:v>
      </x:c>
      <x:c r="B18" s="33" t="str">
        <x:v>Ficha da iniciativa</x:v>
      </x:c>
      <x:c r="C18" s="33" t="n">
        <x:v>50</x:v>
      </x:c>
      <x:c r="D18" s="33" t="n">
        <x:v>51</x:v>
      </x:c>
      <x:c r="E18" s="33" t="str">
        <x:v>| Conexão futura | Evolução do ecossistema | O terceiro pilar funciona como ponte para o posicionamento, lançamento e adoção das soluções e produtos do EXECUTAR. |
| Coerência | Relação entre pilares | O Pilar 2 não é um tema paralelo ao risco cognitivo: representa a resposta metodológica ao problema do Pilar 1. O Pilar 3 demonstra como essa metodologia é colocada em prática. |
</x:v>
      </x:c>
    </x:row>
    <x:row r="19" ht="210" customHeight="1">
      <x:c r="A19" s="33" t="str">
        <x:v>GTM-02</x:v>
      </x:c>
      <x:c r="B19" s="33" t="str">
        <x:v>Resumo executivo e F0</x:v>
      </x:c>
      <x:c r="C19" s="33" t="n">
        <x:v>55</x:v>
      </x:c>
      <x:c r="D19" s="33" t="n">
        <x:v>64</x:v>
      </x:c>
      <x:c r="E19" s="33" t="str">
        <x:v># RESumo executivo
Pasta consolidada
Arquivo pronto: [Baixar AI_CORPUS_UNIFICADO.zip](sandbox:/mnt/data/AI_CORPUS_UNIFICADO.zip?_chatgptios_conversationID=6ab7ab37-7bc0-83e9-b9c7-1379cf14a2d7&amp;_chatgptios_messageID=d3bc5539-eaf2-4507-83a7-a3f76795514d)⁠
O ZIP foi validado e contém uma única pasta, sem subpastas. Foram preservados os 16 arquivos reais do pacote original; os 16 arquivos __MACOSX/._*, que eram apenas metadados do macOS, foram descartados.
Estrutura de identificação:
</x:v>
      </x:c>
    </x:row>
    <x:row r="20" ht="210" customHeight="1">
      <x:c r="A20" s="33" t="str">
        <x:v>GTM-02</x:v>
      </x:c>
      <x:c r="B20" s="33" t="str">
        <x:v>Resumo executivo e F0</x:v>
      </x:c>
      <x:c r="C20" s="33" t="n">
        <x:v>65</x:v>
      </x:c>
      <x:c r="D20" s="33" t="n">
        <x:v>74</x:v>
      </x:c>
      <x:c r="E20" s="33" t="str">
        <x:v>- AIKB-0001 até AIKB-0016
- padrão: AIKB-0001__nome-semantico.ext
- nomes normalizados em ASCII
- formatos originais mantidos (DOCX, HTML, TXT, RTF, MD)
- MANIFEST_AI.jsonl: índice canônico para agentes, com ID, nome original, novo nome, título, tema, formato, tamanho, SHA-256 e resumo
- INDEX_AI.txt: índice simplificado
- README_AI.md: relações entre documentos e ordem recomendada de leitura
Resumo executivo do conteúdo
</x:v>
      </x:c>
    </x:row>
    <x:row r="21" ht="210" customHeight="1">
      <x:c r="A21" s="33" t="str">
        <x:v>GTM-02</x:v>
      </x:c>
      <x:c r="B21" s="33" t="str">
        <x:v>Resumo executivo e F0</x:v>
      </x:c>
      <x:c r="C21" s="33" t="n">
        <x:v>75</x:v>
      </x:c>
      <x:c r="D21" s="33" t="n">
        <x:v>76</x:v>
      </x:c>
      <x:c r="E21" s="33" t="str">
        <x:v>O conjunto descreve a construção de um ecossistema Creator-Led orientado por conteúdo, aquisição, tecnologia e inteligência artificial, tendo o tema de Riscos Cognitivos e Processos Neuroadaptativos como uma de suas principais verticais de conhecimento.
</x:v>
      </x:c>
    </x:row>
    <x:row r="22" ht="210" customHeight="1">
      <x:c r="A22" s="33" t="str">
        <x:v>GTM-02</x:v>
      </x:c>
      <x:c r="B22" s="33" t="str">
        <x:v>Resumo executivo e F0</x:v>
      </x:c>
      <x:c r="C22" s="33" t="n">
        <x:v>77</x:v>
      </x:c>
      <x:c r="D22" s="33" t="n">
        <x:v>78</x:v>
      </x:c>
      <x:c r="E22" s="33" t="str">
        <x:v>A camada estratégica começa pelo Process Doc Creator-Led Business + Creator-Led Growth, que funciona como documento mestre de produção. Ele organiza estratégia editorial, governança, produtos, cadência de publicação, distribuição multiplataforma e tarefas operacionais. O conteúdo é pensado como sistema: uma peça central gera derivados, distribuição, sinais de audiência e aprendizado para ciclos posteriores.
</x:v>
      </x:c>
    </x:row>
    <x:row r="23" ht="210" customHeight="1">
      <x:c r="A23" s="33" t="str">
        <x:v>GTM-02</x:v>
      </x:c>
      <x:c r="B23" s="33" t="str">
        <x:v>Resumo executivo e F0</x:v>
      </x:c>
      <x:c r="C23" s="33" t="n">
        <x:v>79</x:v>
      </x:c>
      <x:c r="D23" s="33" t="n">
        <x:v>80</x:v>
      </x:c>
      <x:c r="E23" s="33" t="str">
        <x:v>Outro núcleo trata do blog como infraestrutura de negócio, e não apenas como conjunto de artigos. Os documentos descrevem front-end, backend, CMS, banco de dados, SEO, analytics, CRM, newsletter, identidade, infraestrutura, APIs e integração com produtos. A pesquisa de topologia recomenda manter aquisição e conteúdo público próximos ao domínio principal, utilizando subdomínios quando existirem fronteiras técnicas reais. O CMS estruturado atua como source of truth e a mensuração é concebida como produto de dados first-party.
</x:v>
      </x:c>
    </x:row>
    <x:row r="24" ht="210" customHeight="1">
      <x:c r="A24" s="33" t="str">
        <x:v>GTM-02</x:v>
      </x:c>
      <x:c r="B24" s="33" t="str">
        <x:v>Resumo executivo e F0</x:v>
      </x:c>
      <x:c r="C24" s="33" t="n">
        <x:v>81</x:v>
      </x:c>
      <x:c r="D24" s="33" t="n">
        <x:v>82</x:v>
      </x:c>
      <x:c r="E24" s="33" t="str">
        <x:v>A terceira camada transforma a operação humana em um AI-native Creator Business Operating System. Em vez de reproduzir dezenas de especialistas como bots independentes, a proposta consolida aproximadamente oito capacidades: Research, Strategy, Communication, Story, Experience, Visual, Growth e Governance. O sistema prevê orquestração, workflows determinísticos, agentes para decisões ambíguas, ferramentas, handoffs, aprovações, outputs tipados, DAGs de dependência, runs, tracing, idempotência e evaluators.
</x:v>
      </x:c>
    </x:row>
    <x:row r="25" ht="210" customHeight="1">
      <x:c r="A25" s="33" t="str">
        <x:v>GTM-02</x:v>
      </x:c>
      <x:c r="B25" s="33" t="str">
        <x:v>Resumo executivo e F0</x:v>
      </x:c>
      <x:c r="C25" s="33" t="n">
        <x:v>83</x:v>
      </x:c>
      <x:c r="D25" s="33" t="n">
        <x:v>84</x:v>
      </x:c>
      <x:c r="E25" s="33" t="str">
        <x:v>Na vertical editorial, a tese é estruturada como Problema → Método → Aplicação: Riscos Cognitivos → Processos Neuroadaptativos → Ferramentas e Soluções. Pilares editoriais e níveis de consciência são tratados como dimensões independentes, complementadas por uma progressão curricular.
</x:v>
      </x:c>
    </x:row>
    <x:row r="26" ht="210" customHeight="1">
      <x:c r="A26" s="33" t="str">
        <x:v>GTM-02</x:v>
      </x:c>
      <x:c r="B26" s="33" t="str">
        <x:v>Resumo executivo e F0</x:v>
      </x:c>
      <x:c r="C26" s="33" t="n">
        <x:v>85</x:v>
      </x:c>
      <x:c r="D26" s="33" t="n">
        <x:v>91</x:v>
      </x:c>
      <x:c r="E26" s="33" t="str">
        <x:v>O framework de risco cognitivo modela uma cadeia causal entre condições endógenas, exposição, carga cognitiva, eventos de execução e consequências. Introduz ainda a distinção entre risco endógeno primário e secundário, permitindo representar ciclos de retroalimentação. Uma biblioteca de 16 visualizações fornece modelos para transformar esse framework em análise mensurável.
Por fim, o pacote conecta estratégia à execução digital por meio de Design System, golden screens, tokens, component registry, React/Next.js, rotas, contratos visuais e verificação automatizada.
# ADRS-POR AREA. 
## F0-Blog-full stack
![[AI_CORPUS_UNIFICADO.zip]]
</x:v>
      </x:c>
    </x:row>
    <x:row r="27" ht="210" customHeight="1">
      <x:c r="A27" s="33" t="str">
        <x:v>GTM-02</x:v>
      </x:c>
      <x:c r="B27" s="33" t="str">
        <x:v>Resumo executivo e F0</x:v>
      </x:c>
      <x:c r="C27" s="33" t="n">
        <x:v>92</x:v>
      </x:c>
      <x:c r="D27" s="33" t="n">
        <x:v>101</x:v>
      </x:c>
      <x:c r="E27" s="33" t="str">
        <x:v>- Rota &gt; [ Topologia alvo.md ]
Pasta consolidada
Arquivo pronto: [Baixar AI_CORPUS_UNIFICADO.zip](sandbox:/mnt/data/AI_CORPUS_UNIFICADO.zip?_chatgptios_conversationID=6ab7ab37-7bc0-83e9-b9c7-1379cf14a2d7&amp;_chatgptios_messageID=d3bc5539-eaf2-4507-83a7-a3f76795514d)⁠
O ZIP foi validado e contém uma única pasta, sem subpastas. Foram preservados os 16 arquivos reais do pacote original; os 16 arquivos __MACOSX/._*, que eram apenas metadados do macOS, foram descartados.
Estrutura de identificação:
- AIKB-0001 até AIKB-0016
</x:v>
      </x:c>
    </x:row>
    <x:row r="28" ht="210" customHeight="1">
      <x:c r="A28" s="33" t="str">
        <x:v>GTM-02</x:v>
      </x:c>
      <x:c r="B28" s="33" t="str">
        <x:v>Resumo executivo e F0</x:v>
      </x:c>
      <x:c r="C28" s="33" t="n">
        <x:v>102</x:v>
      </x:c>
      <x:c r="D28" s="33" t="n">
        <x:v>110</x:v>
      </x:c>
      <x:c r="E28" s="33" t="str">
        <x:v>- padrão: AIKB-0001__nome-semantico.ext
- nomes normalizados em ASCII
- formatos originais mantidos (DOCX, HTML, TXT, RTF, MD)
- MANIFEST_AI.jsonl: índice canônico para agentes, com ID, nome original, novo nome, título, tema, formato, tamanho, SHA-256 e resumo
- INDEX_AI.txt: índice simplificado
- README_AI.md: relações entre documentos e ordem recomendada de leitura
Resumo executivo do conteúdo
</x:v>
      </x:c>
    </x:row>
    <x:row r="29" ht="210" customHeight="1">
      <x:c r="A29" s="33" t="str">
        <x:v>GTM-02</x:v>
      </x:c>
      <x:c r="B29" s="33" t="str">
        <x:v>Resumo executivo e F0</x:v>
      </x:c>
      <x:c r="C29" s="33" t="n">
        <x:v>111</x:v>
      </x:c>
      <x:c r="D29" s="33" t="n">
        <x:v>112</x:v>
      </x:c>
      <x:c r="E29" s="33" t="str">
        <x:v>O conjunto descreve a construção de um ecossistema Creator-Led orientado por conteúdo, aquisição, tecnologia e inteligência artificial, tendo o tema de Riscos Cognitivos e Processos Neuroadaptativos como uma de suas principais verticais de conhecimento.
</x:v>
      </x:c>
    </x:row>
    <x:row r="30" ht="210" customHeight="1">
      <x:c r="A30" s="33" t="str">
        <x:v>GTM-02</x:v>
      </x:c>
      <x:c r="B30" s="33" t="str">
        <x:v>Resumo executivo e F0</x:v>
      </x:c>
      <x:c r="C30" s="33" t="n">
        <x:v>113</x:v>
      </x:c>
      <x:c r="D30" s="33" t="n">
        <x:v>114</x:v>
      </x:c>
      <x:c r="E30" s="33" t="str">
        <x:v>A camada estratégica começa pelo Process Doc Creator-Led Business + Creator-Led Growth, que funciona como documento mestre de produção. Ele organiza estratégia editorial, governança, produtos, cadência de publicação, distribuição multiplataforma e tarefas operacionais. O conteúdo é pensado como sistema: uma peça central gera derivados, distribuição, sinais de audiência e aprendizado para ciclos posteriores.
</x:v>
      </x:c>
    </x:row>
    <x:row r="31" ht="210" customHeight="1">
      <x:c r="A31" s="33" t="str">
        <x:v>GTM-02</x:v>
      </x:c>
      <x:c r="B31" s="33" t="str">
        <x:v>Resumo executivo e F0</x:v>
      </x:c>
      <x:c r="C31" s="33" t="n">
        <x:v>115</x:v>
      </x:c>
      <x:c r="D31" s="33" t="n">
        <x:v>116</x:v>
      </x:c>
      <x:c r="E31" s="33" t="str">
        <x:v>Outro núcleo trata do blog como infraestrutura de negócio, e não apenas como conjunto de artigos. Os documentos descrevem front-end, backend, CMS, banco de dados, SEO, analytics, CRM, newsletter, identidade, infraestrutura, APIs e integração com produtos. A pesquisa de topologia recomenda manter aquisição e conteúdo público próximos ao domínio principal, utilizando subdomínios quando existirem fronteiras técnicas reais. O CMS estruturado atua como source of truth e a mensuração é concebida como produto de dados first-party.
</x:v>
      </x:c>
    </x:row>
    <x:row r="32" ht="210" customHeight="1">
      <x:c r="A32" s="33" t="str">
        <x:v>GTM-02</x:v>
      </x:c>
      <x:c r="B32" s="33" t="str">
        <x:v>Resumo executivo e F0</x:v>
      </x:c>
      <x:c r="C32" s="33" t="n">
        <x:v>117</x:v>
      </x:c>
      <x:c r="D32" s="33" t="n">
        <x:v>118</x:v>
      </x:c>
      <x:c r="E32" s="33" t="str">
        <x:v>A terceira camada transforma a operação humana em um AI-native Creator Business Operating System. Em vez de reproduzir dezenas de especialistas como bots independentes, a proposta consolida aproximadamente oito capacidades: Research, Strategy, Communication, Story, Experience, Visual, Growth e Governance. O sistema prevê orquestração, workflows determinísticos, agentes para decisões ambíguas, ferramentas, handoffs, aprovações, outputs tipados, DAGs de dependência, runs, tracing, idempotência e evaluators.
</x:v>
      </x:c>
    </x:row>
    <x:row r="33" ht="210" customHeight="1">
      <x:c r="A33" s="33" t="str">
        <x:v>GTM-02</x:v>
      </x:c>
      <x:c r="B33" s="33" t="str">
        <x:v>Resumo executivo e F0</x:v>
      </x:c>
      <x:c r="C33" s="33" t="n">
        <x:v>119</x:v>
      </x:c>
      <x:c r="D33" s="33" t="n">
        <x:v>120</x:v>
      </x:c>
      <x:c r="E33" s="33" t="str">
        <x:v>Na vertical editorial, a tese é estruturada como Problema → Método → Aplicação: Riscos Cognitivos → Processos Neuroadaptativos → Ferramentas e Soluções. Pilares editoriais e níveis de consciência são tratados como dimensões independentes, complementadas por uma progressão curricular.
</x:v>
      </x:c>
    </x:row>
    <x:row r="34" ht="210" customHeight="1">
      <x:c r="A34" s="33" t="str">
        <x:v>GTM-02</x:v>
      </x:c>
      <x:c r="B34" s="33" t="str">
        <x:v>Resumo executivo e F0</x:v>
      </x:c>
      <x:c r="C34" s="33" t="n">
        <x:v>121</x:v>
      </x:c>
      <x:c r="D34" s="33" t="n">
        <x:v>124</x:v>
      </x:c>
      <x:c r="E34" s="33" t="str">
        <x:v>O framework de risco cognitivo modela uma cadeia causal entre condições endógenas, exposição, carga cognitiva, eventos de execução e consequências. Introduz ainda a distinção entre risco endógeno primário e secundário, permitindo representar ciclos de retroalimentação. Uma biblioteca de 16 visualizações fornece modelos para transformar esse framework em análise mensurável.
Por fim, o pacote conecta estratégia à execução digital por meio de Design System, golden screens, tokens, component registry, React/Next.js, rotas, contratos visuais e verificação automatizada.
</x:v>
      </x:c>
    </x:row>
    <x:row r="35" ht="210" customHeight="1">
      <x:c r="A35" s="33" t="str">
        <x:v>GTM-03</x:v>
      </x:c>
      <x:c r="B35" s="33" t="str">
        <x:v>Três packs e metas do ciclo</x:v>
      </x:c>
      <x:c r="C35" s="33" t="n">
        <x:v>125</x:v>
      </x:c>
      <x:c r="D35" s="33" t="n">
        <x:v>134</x:v>
      </x:c>
      <x:c r="E35" s="33" t="str">
        <x:v>## F1-3X Packge 
oque: descritivo granular de especificificvao de um pack
pq: Dependecnia necessaria para lancar o blog
quando: 1pack e guiado pelo copiloto [ver ref_01-02]
Quanto: 1 pack = 17 dias para criar banco de conteudo para lancmaento sao necessarios 3 packs em linha. 1 pack entrega: 1 macro texto + 1 macro video - que depois sao desmebrados. [ VER YAML BUNDLE]
quanto : [ VER YAML BUNDLE]
Como : [Ver ref _01-02]
Linhas e Pilares editorias: [ver ref_pem]
![[PD-CLB-20260906-F01-DOC-V01_YAML_BUNDLE.zip]]
</x:v>
      </x:c>
    </x:row>
    <x:row r="36" ht="210" customHeight="1">
      <x:c r="A36" s="33" t="str">
        <x:v>GTM-03</x:v>
      </x:c>
      <x:c r="B36" s="33" t="str">
        <x:v>Três packs e metas do ciclo</x:v>
      </x:c>
      <x:c r="C36" s="33" t="n">
        <x:v>135</x:v>
      </x:c>
      <x:c r="D36" s="33" t="n">
        <x:v>144</x:v>
      </x:c>
      <x:c r="E36" s="33" t="str">
        <x:v>
[Baixar YAML Bundle ZIP](sandbox:/mnt/data/PD-CLB-20260906-F01-DOC-V01_YAML_BUNDLE.zip?_chatgptios_conversationID=6ab79656-0f68-83e9-93e7-bfae2fdc1803&amp;_chatgptios_messageID=5eabc14e-6c32-4e3f-bfcd-9767f05c9af3)⁠
| | |
|---|---|
|KPI / Meta|Valor|
|Ciclo editorial|15 dias|
|Artigo-mãe por ciclo|1|
|Extensão do artigo|1.800–2.400 palavras|
|Blocos do artigo|9–11|
</x:v>
      </x:c>
    </x:row>
    <x:row r="37" ht="210" customHeight="1">
      <x:c r="A37" s="33" t="str">
        <x:v>GTM-03</x:v>
      </x:c>
      <x:c r="B37" s="33" t="str">
        <x:v>Três packs e metas do ciclo</x:v>
      </x:c>
      <x:c r="C37" s="33" t="n">
        <x:v>145</x:v>
      </x:c>
      <x:c r="D37" s="33" t="n">
        <x:v>154</x:v>
      </x:c>
      <x:c r="E37" s="33" t="str">
        <x:v>|Vídeo-mãe|1|
|Duração vídeo-mãe|8–12 min|
|Infográficos|3|
|Imagens estáticas|6|
|Carrosséis|6|
|Vídeos verticais|4|
|Stories|10–12|
|CTAs de ferramenta|6|
|Newsletters|3|
|Ebooks|3|
</x:v>
      </x:c>
    </x:row>
    <x:row r="38" ht="210" customHeight="1">
      <x:c r="A38" s="33" t="str">
        <x:v>GTM-03</x:v>
      </x:c>
      <x:c r="B38" s="33" t="str">
        <x:v>Três packs e metas do ciclo</x:v>
      </x:c>
      <x:c r="C38" s="33" t="n">
        <x:v>155</x:v>
      </x:c>
      <x:c r="D38" s="33" t="n">
        <x:v>160</x:v>
      </x:c>
      <x:c r="E38" s="33" t="str">
        <x:v>|Artigos por arco temático|3|
|Duração aproximada do arco|45 dias|
|Papéis do Creator|7|
|Fases da cadeia de valor|5|
|Tarefas da Fase 1|22|
|Pastas padrão por ciclo|10|
</x:v>
      </x:c>
    </x:row>
    <x:row r="39" ht="210" customHeight="1">
      <x:c r="A39" s="33" t="str">
        <x:v>GTM-04</x:v>
      </x:c>
      <x:c r="B39" s="33" t="str">
        <x:v>Canais e funil</x:v>
      </x:c>
      <x:c r="C39" s="33" t="n">
        <x:v>161</x:v>
      </x:c>
      <x:c r="D39" s="33" t="n">
        <x:v>169</x:v>
      </x:c>
      <x:c r="E39" s="33" t="str">
        <x:v>ANEXO — MATRIZ DE REDES SOCIAIS, OBJETIVOS E FORMATOS DE CONTEÚDO
Documento relacionado: PD-CLB-20260906-F01-DOC-V01 
Modelo: Creator-Led Business + Creator-Led GrowthFinalidade: definir a função de cada canal dentro do ecossistema editorial e os formatos de conteúdo derivados da peça-mãe.
| | | |
|---|---|---|
|Canal / Rede|Objetivo principal|Formatos de conteúdo|
|Blog EXECUTAR|Autoridade, profundidade, SEO/GEO, construção de conhecimento e conversão para ferramentas/produtos.|Artigo-mãe, tutorial, guia técnico, estudo de caso, framework, checklist, diagnóstico, comparativo, infográfico incorporado, CTA para ferramenta.|
</x:v>
      </x:c>
    </x:row>
    <x:row r="40" ht="210" customHeight="1">
      <x:c r="A40" s="33" t="str">
        <x:v>GTM-04</x:v>
      </x:c>
      <x:c r="B40" s="33" t="str">
        <x:v>Canais e funil</x:v>
      </x:c>
      <x:c r="C40" s="33" t="n">
        <x:v>170</x:v>
      </x:c>
      <x:c r="D40" s="33" t="n">
        <x:v>172</x:v>
      </x:c>
      <x:c r="E40" s="33" t="str">
        <x:v>|Instagram Feed|Awareness, consideração, construção de identidade editorial e distribuição visual dos conceitos.|Carrossel, imagem estática, gráfico, framework visual, checklist, quote contextualizada, miniestudo de caso.|
|Instagram Reels|Descoberta e expansão de alcance.|Vídeos verticais curtos, cortes do vídeo-mãe, explicação rápida, demonstração, mito × fato, problema → solução, série temática.|
|Instagram Stories|Ativação, interação, validação de interesse e prova social.|Sequências narrativas, enquete, perguntas, quiz, bastidores, CTA, demonstração de ferramenta, prova/resultado, teaser.|
</x:v>
      </x:c>
    </x:row>
    <x:row r="41" ht="210" customHeight="1">
      <x:c r="A41" s="33" t="str">
        <x:v>GTM-04</x:v>
      </x:c>
      <x:c r="B41" s="33" t="str">
        <x:v>Canais e funil</x:v>
      </x:c>
      <x:c r="C41" s="33" t="n">
        <x:v>173</x:v>
      </x:c>
      <x:c r="D41" s="33" t="n">
        <x:v>175</x:v>
      </x:c>
      <x:c r="E41" s="33" t="str">
        <x:v>|TikTok|Descoberta, teste rápido de narrativas e captura de sinais da audiência.|Vídeo vertical, microtutorial, explicação curta, storytelling, série, resposta a comentário, demonstração, opinião técnica contextualizada.|
|YouTube|Autoridade, profundidade, educação e retenção de longo prazo.|Vídeo-mãe, tutorial completo, aula prática, estudo de caso, demonstração de ferramenta, entrevista, análise, série temática.|
|YouTube Shorts|Descoberta e direcionamento para conteúdos mais profundos.|Cortes, insights únicos, conceitos rápidos, perguntas/respostas, demonstrações breves, teaser do vídeo-mãe.|
</x:v>
      </x:c>
    </x:row>
    <x:row r="42" ht="210" customHeight="1">
      <x:c r="A42" s="33" t="str">
        <x:v>GTM-04</x:v>
      </x:c>
      <x:c r="B42" s="33" t="str">
        <x:v>Canais e funil</x:v>
      </x:c>
      <x:c r="C42" s="33" t="n">
        <x:v>176</x:v>
      </x:c>
      <x:c r="D42" s="33" t="n">
        <x:v>177</x:v>
      </x:c>
      <x:c r="E42" s="33" t="str">
        <x:v>|LinkedIn|Autoridade profissional/B2B, posicionamento técnico e desenvolvimento de relacionamento com profissionais e organizações.|Post textual, artigo, documento/carrossel, vídeo nativo, framework, estudo de caso, análise de processo, aprendizados de projeto, pesquisa e dados.|
|Facebook|Redistribuição, comunidade e alcance complementar para públicos específicos.|Posts, vídeos, carrosséis, links para artigos, lives, grupos, eventos e conteúdos educativos.|
</x:v>
      </x:c>
    </x:row>
    <x:row r="43" ht="210" customHeight="1">
      <x:c r="A43" s="33" t="str">
        <x:v>GTM-04</x:v>
      </x:c>
      <x:c r="B43" s="33" t="str">
        <x:v>Canais e funil</x:v>
      </x:c>
      <x:c r="C43" s="33" t="n">
        <x:v>178</x:v>
      </x:c>
      <x:c r="D43" s="33" t="n">
        <x:v>180</x:v>
      </x:c>
      <x:c r="E43" s="33" t="str">
        <x:v>|Threads|Conversação, construção de narrativa curta e experimentação de ideias.|Posts curtos, sequências, insights, perguntas, bastidores, comentários sobre pesquisas e conceitos em desenvolvimento.|
|X / Twitter|Distribuição rápida de ideias, networking e acompanhamento de discussões técnicas.|Posts curtos, threads, gráficos, comentários de pesquisa, links, sínteses, frameworks e atualizações.|
|Pinterest|Descoberta visual e geração de tráfego recorrente para conteúdos evergreen.|Infográficos, diagramas, checklists, mapas, frameworks, capas de artigos, fichas visuais e templates.|
</x:v>
      </x:c>
    </x:row>
    <x:row r="44" ht="210" customHeight="1">
      <x:c r="A44" s="33" t="str">
        <x:v>GTM-04</x:v>
      </x:c>
      <x:c r="B44" s="33" t="str">
        <x:v>Canais e funil</x:v>
      </x:c>
      <x:c r="C44" s="33" t="n">
        <x:v>181</x:v>
      </x:c>
      <x:c r="D44" s="33" t="n">
        <x:v>183</x:v>
      </x:c>
      <x:c r="E44" s="33" t="str">
        <x:v>|Reddit|Pesquisa qualitativa, participação em comunidades e identificação de problemas reais.|Discussões, respostas aprofundadas, perguntas, estudos de caso, explicações técnicas e coleta de feedback.|
|WhatsApp|Relacionamento direto, retenção e ativação de audiência própria.|Newsletter curta, atualização, link de conteúdo, checklist, PDF, áudio, convite, lembrete e distribuição segmentada.|
|Telegram|Comunidade, distribuição direta e biblioteca de materiais.|Posts, PDFs, links, vídeos, áudios, arquivos, atualizações e conteúdos exclusivos.|
</x:v>
      </x:c>
    </x:row>
    <x:row r="45" ht="210" customHeight="1">
      <x:c r="A45" s="33" t="str">
        <x:v>GTM-04</x:v>
      </x:c>
      <x:c r="B45" s="33" t="str">
        <x:v>Canais e funil</x:v>
      </x:c>
      <x:c r="C45" s="33" t="n">
        <x:v>184</x:v>
      </x:c>
      <x:c r="D45" s="33" t="n">
        <x:v>191</x:v>
      </x:c>
      <x:c r="E45" s="33" t="str">
        <x:v>|Newsletter / E-mail|Relacionamento próprio, aprofundamento, nutrição e conversão.|Newsletter editorial, sequência educativa, estudo de caso, resumo do artigo, ferramenta, diagnóstico, lançamento, CTA e oferta.|
|Podcast / Áudio|Profundidade, construção de autoridade e consumo em contexto de baixa atenção visual.|Episódio solo, entrevista, análise, série temática, narrativa, resumo de artigo e discussão de caso.|
|Comunidade própria|Retenção, aprendizagem, feedback e cocriação de produtos.|Discussões, desafios, office hours, pesquisas, workshops, templates, testes beta e sessões de feedback.|
Papel dos canais no funil
| | | |
|---|---|---|
</x:v>
      </x:c>
    </x:row>
    <x:row r="46" ht="210" customHeight="1">
      <x:c r="A46" s="33" t="str">
        <x:v>GTM-04</x:v>
      </x:c>
      <x:c r="B46" s="33" t="str">
        <x:v>Canais e funil</x:v>
      </x:c>
      <x:c r="C46" s="33" t="n">
        <x:v>192</x:v>
      </x:c>
      <x:c r="D46" s="33" t="n">
        <x:v>197</x:v>
      </x:c>
      <x:c r="E46" s="33" t="str">
        <x:v>|Etapa|Objetivo|Canais prioritários|
|Descoberta|Fazer o público encontrar o tema e reconhecer o problema.|Reels, TikTok, Shorts, Instagram, Threads, X, Pinterest.|
|Awareness|Construir compreensão inicial e vocabulário.|Blog, Instagram, LinkedIn, YouTube.|
|Consideração|Demonstrar profundidade, método e autoridade.|Blog, YouTube, LinkedIn, Newsletter.|
|Ativação|Levar o usuário a executar uma ação concreta.|Stories, Blog, Newsletter, WhatsApp, ferramentas.|
|Validação|Observar dúvidas, comentários, uso e sinais de demanda.|Comunidades, Reddit, Stories, TikTok, comentários e ferramentas.|
</x:v>
      </x:c>
    </x:row>
    <x:row r="47" ht="210" customHeight="1">
      <x:c r="A47" s="33" t="str">
        <x:v>GTM-04</x:v>
      </x:c>
      <x:c r="B47" s="33" t="str">
        <x:v>Canais e funil</x:v>
      </x:c>
      <x:c r="C47" s="33" t="n">
        <x:v>198</x:v>
      </x:c>
      <x:c r="D47" s="33" t="n">
        <x:v>207</x:v>
      </x:c>
      <x:c r="E47" s="33" t="str">
        <x:v>|Conversão|Transformar interesse em cadastro, download, uso ou compra.|Blog, Newsletter, WhatsApp, landing pages e produto.|
|Retenção|Manter relacionamento e gerar recorrência.|Newsletter, comunidade, WhatsApp, Telegram, YouTube.|
Regra de produção
PEÇA-MÃE
   ↓
Artigo + Vídeo principal
</x:v>
      </x:c>
    </x:row>
    <x:row r="48" ht="210" customHeight="1">
      <x:c r="A48" s="33" t="str">
        <x:v>GTM-04</x:v>
      </x:c>
      <x:c r="B48" s="33" t="str">
        <x:v>Canais e funil</x:v>
      </x:c>
      <x:c r="C48" s="33" t="n">
        <x:v>208</x:v>
      </x:c>
      <x:c r="D48" s="33" t="n">
        <x:v>217</x:v>
      </x:c>
      <x:c r="E48" s="33" t="str">
        <x:v>
   ↓
DERIVAÇÃO
   ├── Carrosséis
   ├── Vídeos verticais
   ├── Imagens
</x:v>
      </x:c>
    </x:row>
    <x:row r="49" ht="210" customHeight="1">
      <x:c r="A49" s="33" t="str">
        <x:v>GTM-04</x:v>
      </x:c>
      <x:c r="B49" s="33" t="str">
        <x:v>Canais e funil</x:v>
      </x:c>
      <x:c r="C49" s="33" t="n">
        <x:v>218</x:v>
      </x:c>
      <x:c r="D49" s="33" t="n">
        <x:v>227</x:v>
      </x:c>
      <x:c r="E49" s="33" t="str">
        <x:v>
   ├── Infográficos
   ├── Stories
   ├── Posts textuais
   ├── Newsletter
   ├── Ebooks
</x:v>
      </x:c>
    </x:row>
    <x:row r="50" ht="210" customHeight="1">
      <x:c r="A50" s="33" t="str">
        <x:v>GTM-04</x:v>
      </x:c>
      <x:c r="B50" s="33" t="str">
        <x:v>Canais e funil</x:v>
      </x:c>
      <x:c r="C50" s="33" t="n">
        <x:v>228</x:v>
      </x:c>
      <x:c r="D50" s="33" t="n">
        <x:v>237</x:v>
      </x:c>
      <x:c r="E50" s="33" t="str">
        <x:v>
   └── CTAs / ferramentas
   ↓
ADAPTAÇÃO NATIVA POR CANAL
   ↓
DISTRIBUIÇÃO
</x:v>
      </x:c>
    </x:row>
    <x:row r="51" ht="210" customHeight="1">
      <x:c r="A51" s="33" t="str">
        <x:v>GTM-04</x:v>
      </x:c>
      <x:c r="B51" s="33" t="str">
        <x:v>Canais e funil</x:v>
      </x:c>
      <x:c r="C51" s="33" t="n">
        <x:v>238</x:v>
      </x:c>
      <x:c r="D51" s="33" t="n">
        <x:v>247</x:v>
      </x:c>
      <x:c r="E51" s="33" t="str">
        <x:v>
   ↓
SINAIS / MÉTRICAS / FEEDBACK
   ↓
PRÓXIMO CICLO
Princípio operacional
</x:v>
      </x:c>
    </x:row>
    <x:row r="52" ht="210" customHeight="1">
      <x:c r="A52" s="33" t="str">
        <x:v>GTM-04</x:v>
      </x:c>
      <x:c r="B52" s="33" t="str">
        <x:v>Canais e funil</x:v>
      </x:c>
      <x:c r="C52" s="33" t="n">
        <x:v>248</x:v>
      </x:c>
      <x:c r="D52" s="33" t="n">
        <x:v>255</x:v>
      </x:c>
      <x:c r="E52" s="33" t="str">
        <x:v>
Não produzir conteúdo independente para cada rede.
O sistema deve operar por:
Pesquisa → Peça-mãe → Derivação → Adaptação nativa → Distribuição → Medição → Aprendizado.
Cada rede exerce uma função específica dentro da jornada. O conteúdo-base permanece coerente, mas formato, abertura, duração, linguagem, CTA e profundidade são adaptados ao comportamento esperado em cada canal.
</x:v>
      </x:c>
    </x:row>
    <x:row r="53" ht="210" customHeight="1">
      <x:c r="A53" s="33" t="str">
        <x:v>GTM-05</x:v>
      </x:c>
      <x:c r="B53" s="33" t="str">
        <x:v>Entregáveis e contrato MECE</x:v>
      </x:c>
      <x:c r="C53" s="33" t="n">
        <x:v>256</x:v>
      </x:c>
      <x:c r="D53" s="33" t="n">
        <x:v>265</x:v>
      </x:c>
      <x:c r="E53" s="33" t="str">
        <x:v>ANEXO — ESPECIFICAÇÃO MECE DE FORMATOS E ENTREGÁVEIS
Documento-base: PD-CLB-20260906-F01-DOC-V01 
Unidade operacional: ciclo editorial de 15 dias 
Princípio: uma peça-mãe gera derivados adaptados por formato e canal.
| | | | |
|---|---|---|---|
|Família / Entregável|Especificação técnica|Conteúdo / Estrutura|Quantidade / Ciclo|
|ART-01 · Artigo-mãe|Markdown/HTML · 1.800–2.400 palavras · hero/OG recomendado 1200×630|Gancho → contexto → evidências → exemplos → framework → tutorial → interpretação → CTA|1|
</x:v>
      </x:c>
    </x:row>
    <x:row r="54" ht="210" customHeight="1">
      <x:c r="A54" s="33" t="str">
        <x:v>GTM-05</x:v>
      </x:c>
      <x:c r="B54" s="33" t="str">
        <x:v>Entregáveis e contrato MECE</x:v>
      </x:c>
      <x:c r="C54" s="33" t="n">
        <x:v>266</x:v>
      </x:c>
      <x:c r="D54" s="33" t="n">
        <x:v>269</x:v>
      </x:c>
      <x:c r="E54" s="33" t="str">
        <x:v>|VID-01 · Vídeo-mãe|MP4 · 16:9 · 1920×1080 · 8–12 min|Hook → problema → evidência → explicação → método → demonstração → CTA|1|
|VID-02 · Vídeo vertical|MP4 · 9:16 · 1080×1920 · 20–60 s|1 ideia por vídeo; hook inicial → insight/problema → exemplo → CTA|4|
|SHORT · YouTube Shorts|Vertical/quadrado · até 3 min; operacionalmente usar 30–60 s para derivados.|Recorte autônomo do vídeo-mãe com entrada e fechamento próprios|Dentro dos 4 verticais|
|REEL · Instagram/Facebook|9:16 · 1080×1920 · áudio + elementos principais em safe zone.|Hook → demonstração/explicação → conclusão → CTA|Dentro dos 4 verticais|
</x:v>
      </x:c>
    </x:row>
    <x:row r="55" ht="210" customHeight="1">
      <x:c r="A55" s="33" t="str">
        <x:v>GTM-05</x:v>
      </x:c>
      <x:c r="B55" s="33" t="str">
        <x:v>Entregáveis e contrato MECE</x:v>
      </x:c>
      <x:c r="C55" s="33" t="n">
        <x:v>270</x:v>
      </x:c>
      <x:c r="D55" s="33" t="n">
        <x:v>272</x:v>
      </x:c>
      <x:c r="E55" s="33" t="str">
        <x:v>|TIK · TikTok|9:16 · 1080×1920 recomendado; padrão mobile-first. Para criativos de anúncios, TikTok documenta 5–60 s.|Conteúdo nativo, rápido, uma ideia, exemplo visual e CTA leve|Dentro dos 4 verticais|
|LIV · LinkedIn vídeo|MP4 · vertical, quadrado ou horizontal · operacional 30–120 s. LinkedIn aceita 3 s–10 min e ampla faixa de proporções.|Insight profissional → evidência → implicação prática|Derivado|
|IMG-01 · Imagem estática|PNG/JPG · 1080×1350 (4:5) principal; alternativa 1080×1080|Claim, dado, conceito, framework ou chamada visual|6|
</x:v>
      </x:c>
    </x:row>
    <x:row r="56" ht="210" customHeight="1">
      <x:c r="A56" s="33" t="str">
        <x:v>GTM-05</x:v>
      </x:c>
      <x:c r="B56" s="33" t="str">
        <x:v>Entregáveis e contrato MECE</x:v>
      </x:c>
      <x:c r="C56" s="33" t="n">
        <x:v>273</x:v>
      </x:c>
      <x:c r="D56" s="33" t="n">
        <x:v>276</x:v>
      </x:c>
      <x:c r="E56" s="33" t="str">
        <x:v>|CRS-01 · Carrossel|PNG/JPG ou PDF · 1080×1350 (4:5) · 6–10 páginas operacionais|Capa → problema → decomposição → método → exemplo → síntese → CTA|6|
|INF-01 · Infográfico|PNG/SVG · 16:9 · 1920×1080|Processo, mapa, framework, comparação, fluxo ou dados|3|
|STR-01 · Stories|9:16 · 1080×1920 · sequência modular|Descoberta → prova → interação → urgência → CTA/retenção|10–12|
|PIN-01 · Pinterest|Preferência operacional 2:3 · 1000×1500; vídeo full-screen 9:16 · 1080×1920, 4 s–5 min suportados.|Checklist, framework, infográfico, passo a passo, referência evergreen|Derivado|
</x:v>
      </x:c>
    </x:row>
    <x:row r="57" ht="210" customHeight="1">
      <x:c r="A57" s="33" t="str">
        <x:v>GTM-05</x:v>
      </x:c>
      <x:c r="B57" s="33" t="str">
        <x:v>Entregáveis e contrato MECE</x:v>
      </x:c>
      <x:c r="C57" s="33" t="n">
        <x:v>277</x:v>
      </x:c>
      <x:c r="D57" s="33" t="n">
        <x:v>286</x:v>
      </x:c>
      <x:c r="E57" s="33" t="str">
        <x:v>|NWL-01 · Newsletter|HTML responsivo · largura editorial ~600–700 px|Gancho → aprendizado → evidência/exemplo → aplicação → CTA|3|
|EBK-01 · Ebook|PDF · A4 vertical · capa + sumário + conteúdo modular|Aprofundamento de um subtema + framework + exercício/template + CTA|3|
|CTA-01 · CTA de ferramenta|Bloco web, card, botão, banner ou embed|Problema → benefício concreto → ação única → destino mensurável|6|
|AST-01 · Asset/Template|PDF, XLSX, DOCX, YAML, checklist ou ferramenta web|Objeto utilizável: scanner, checklist, workbook, template ou diagnóstico|Conforme Topic Pack|
Contrato MECE de produção
| | | |
|---|---|---|
|Camada|Regra|Saída|
</x:v>
      </x:c>
    </x:row>
    <x:row r="58" ht="210" customHeight="1">
      <x:c r="A58" s="33" t="str">
        <x:v>GTM-05</x:v>
      </x:c>
      <x:c r="B58" s="33" t="str">
        <x:v>Entregáveis e contrato MECE</x:v>
      </x:c>
      <x:c r="C58" s="33" t="n">
        <x:v>287</x:v>
      </x:c>
      <x:c r="D58" s="33" t="n">
        <x:v>295</x:v>
      </x:c>
      <x:c r="E58" s="33" t="str">
        <x:v>|1. Fonte|Pesquisa + evidências + Topic Pack|Base validada|
|2. Peça-mãe|Um artigo + um vídeo aprofundado|Fonte canônica do ciclo|
|3. Derivação|Nenhum derivado começa do zero|Banco de trechos e claims|
|4. Adaptação|Cada canal recebe composição nativa|Vídeos, carrosséis, imagens, stories|
|5. Conversão|Cada peça possui função e CTA identificáveis|Download, ferramenta, cadastro ou produto|
|6. Evidência|Cada publicação gera sinais mensuráveis|Métricas e aprendizado do próximo ciclo|
Volume mínimo do ciclo
</x:v>
      </x:c>
    </x:row>
    <x:row r="59" ht="210" customHeight="1">
      <x:c r="A59" s="33" t="str">
        <x:v>GTM-05</x:v>
      </x:c>
      <x:c r="B59" s="33" t="str">
        <x:v>Entregáveis e contrato MECE</x:v>
      </x:c>
      <x:c r="C59" s="33" t="n">
        <x:v>296</x:v>
      </x:c>
      <x:c r="D59" s="33" t="n">
        <x:v>296</x:v>
      </x:c>
      <x:c r="E59" s="33" t="str">
        <x:v>1 artigo + 1 vídeo-mãe + 4 vídeos verticais + 6 carrosséis + 6 imagens + 3 infográficos + 10–12 stories + 3 newsletters + 3 ebooks + 6 CTAs.
</x:v>
      </x:c>
    </x:row>
    <x:row r="60" ht="210" customHeight="1">
      <x:c r="A60" s="33" t="str">
        <x:v>GTM-06</x:v>
      </x:c>
      <x:c r="B60" s="33" t="str">
        <x:v>Especificações por canal</x:v>
      </x:c>
      <x:c r="C60" s="33" t="n">
        <x:v>297</x:v>
      </x:c>
      <x:c r="D60" s="33" t="n">
        <x:v>306</x:v>
      </x:c>
      <x:c r="E60" s="33" t="str">
        <x:v>ANEXO — FORMATOS POR CANAL E ENTREGÁVEL
1. Blog EXECUTAR
| | | |
|---|---|---|
|Entregável|Formato|Especificação|
|Artigo-mãe|Markdown / HTML|1.800–2.400 palavras|
|Imagem de capa|PNG / JPG|1200×630 recomendado|
|Infográfico|PNG / SVG|16:9 · 1920×1080|
</x:v>
      </x:c>
    </x:row>
    <x:row r="61" ht="210" customHeight="1">
      <x:c r="A61" s="33" t="str">
        <x:v>GTM-06</x:v>
      </x:c>
      <x:c r="B61" s="33" t="str">
        <x:v>Especificações por canal</x:v>
      </x:c>
      <x:c r="C61" s="33" t="n">
        <x:v>307</x:v>
      </x:c>
      <x:c r="D61" s="33" t="n">
        <x:v>316</x:v>
      </x:c>
      <x:c r="E61" s="33" t="str">
        <x:v>|Ferramenta / CTA|Card, botão, embed|1 ação principal|
|Ebook / Lead Magnet|PDF|A4 vertical|
|Asset operacional|PDF, XLSX, DOCX, YAML|Checklist, workbook, scanner, template|
2. YouTube
| | | |
|---|---|---|
|Entregável|Formato|Especificação|
|Vídeo-mãe|MP4 horizontal|16:9 · 1920×1080 · 8–12 min|
</x:v>
      </x:c>
    </x:row>
    <x:row r="62" ht="210" customHeight="1">
      <x:c r="A62" s="33" t="str">
        <x:v>GTM-06</x:v>
      </x:c>
      <x:c r="B62" s="33" t="str">
        <x:v>Especificações por canal</x:v>
      </x:c>
      <x:c r="C62" s="33" t="n">
        <x:v>317</x:v>
      </x:c>
      <x:c r="D62" s="33" t="n">
        <x:v>326</x:v>
      </x:c>
      <x:c r="E62" s="33" t="str">
        <x:v>|Tutorial|MP4 horizontal|16:9 · 5–15 min|
|Estudo de caso|MP4 horizontal|16:9 · 5–12 min|
|Thumbnail|JPG / PNG|1280×720|
|Short|MP4 vertical|9:16 · 1080×1920 · 20–60 s operacional|
3. Instagram Feed
| | | |
|---|---|---|
|Entregável|Formato|Especificação|
</x:v>
      </x:c>
    </x:row>
    <x:row r="63" ht="210" customHeight="1">
      <x:c r="A63" s="33" t="str">
        <x:v>GTM-06</x:v>
      </x:c>
      <x:c r="B63" s="33" t="str">
        <x:v>Especificações por canal</x:v>
      </x:c>
      <x:c r="C63" s="33" t="n">
        <x:v>327</x:v>
      </x:c>
      <x:c r="D63" s="33" t="n">
        <x:v>336</x:v>
      </x:c>
      <x:c r="E63" s="33" t="str">
        <x:v>|Carrossel|JPG / PNG|4:5 · 1080×1350 · 6–10 cards|
|Imagem estática|JPG / PNG|4:5 · 1080×1350|
|Framework visual|JPG / PNG|4:5|
|Gráfico / dado|JPG / PNG|4:5|
|Infográfico resumido|JPG / PNG|4:5|
4. Instagram Reels
| | | |
|---|---|---|
</x:v>
      </x:c>
    </x:row>
    <x:row r="64" ht="210" customHeight="1">
      <x:c r="A64" s="33" t="str">
        <x:v>GTM-06</x:v>
      </x:c>
      <x:c r="B64" s="33" t="str">
        <x:v>Especificações por canal</x:v>
      </x:c>
      <x:c r="C64" s="33" t="n">
        <x:v>337</x:v>
      </x:c>
      <x:c r="D64" s="33" t="n">
        <x:v>346</x:v>
      </x:c>
      <x:c r="E64" s="33" t="str">
        <x:v>|Entregável|Formato|Especificação|
|Vídeo vertical principal|MP4|9:16 · 1080×1920 · 20–60 s|
|Corte do vídeo-mãe|MP4|9:16 · 20–60 s|
|Microtutorial|MP4|9:16 · 30–90 s|
|Problema → solução|MP4|9:16 · 20–45 s|
|Série temática|MP4|9:16 · episódios curtos|
5. Instagram Stories
| | | |
</x:v>
      </x:c>
    </x:row>
    <x:row r="65" ht="210" customHeight="1">
      <x:c r="A65" s="33" t="str">
        <x:v>GTM-06</x:v>
      </x:c>
      <x:c r="B65" s="33" t="str">
        <x:v>Especificações por canal</x:v>
      </x:c>
      <x:c r="C65" s="33" t="n">
        <x:v>347</x:v>
      </x:c>
      <x:c r="D65" s="33" t="n">
        <x:v>356</x:v>
      </x:c>
      <x:c r="E65" s="33" t="str">
        <x:v>|---|---|---|
|Entregável|Formato|Especificação|
|Story imagem|JPG / PNG|9:16 · 1080×1920|
|Story vídeo|MP4|9:16|
|Sequência narrativa|Imagem + vídeo|10–12 peças por ciclo|
|Enquete / quiz|Story interativo|1 pergunta por peça|
|CTA|Story|Link, resposta ou ação única|
|Bastidores|Vídeo / imagem|Conteúdo contextual|
6. TikTok
</x:v>
      </x:c>
    </x:row>
    <x:row r="66" ht="210" customHeight="1">
      <x:c r="A66" s="33" t="str">
        <x:v>GTM-06</x:v>
      </x:c>
      <x:c r="B66" s="33" t="str">
        <x:v>Especificações por canal</x:v>
      </x:c>
      <x:c r="C66" s="33" t="n">
        <x:v>357</x:v>
      </x:c>
      <x:c r="D66" s="33" t="n">
        <x:v>366</x:v>
      </x:c>
      <x:c r="E66" s="33" t="str">
        <x:v>
| | | |
|---|---|---|
|Entregável|Formato|Especificação|
|Vídeo curto|MP4|9:16 · 1080×1920 · 20–60 s|
|Microtutorial|MP4|9:16 · 30–90 s|
|Storytelling|MP4|9:16|
|Resposta a comentário|MP4|9:16|
|Série temática|MP4|Episódios sequenciais|
|Demonstração|MP4|Ferramenta/processo em uso|
</x:v>
      </x:c>
    </x:row>
    <x:row r="67" ht="210" customHeight="1">
      <x:c r="A67" s="33" t="str">
        <x:v>GTM-06</x:v>
      </x:c>
      <x:c r="B67" s="33" t="str">
        <x:v>Especificações por canal</x:v>
      </x:c>
      <x:c r="C67" s="33" t="n">
        <x:v>367</x:v>
      </x:c>
      <x:c r="D67" s="33" t="n">
        <x:v>376</x:v>
      </x:c>
      <x:c r="E67" s="33" t="str">
        <x:v>
7. YouTube Shorts
| | | |
|---|---|---|
|Entregável|Formato|Especificação|
|Insight curto|MP4|9:16 · 1080×1920|
|Corte do vídeo-mãe|MP4|9:16|
|Pergunta/resposta|MP4|9:16|
|Microtutorial|MP4|9:16|
</x:v>
      </x:c>
    </x:row>
    <x:row r="68" ht="210" customHeight="1">
      <x:c r="A68" s="33" t="str">
        <x:v>GTM-06</x:v>
      </x:c>
      <x:c r="B68" s="33" t="str">
        <x:v>Especificações por canal</x:v>
      </x:c>
      <x:c r="C68" s="33" t="n">
        <x:v>377</x:v>
      </x:c>
      <x:c r="D68" s="33" t="n">
        <x:v>386</x:v>
      </x:c>
      <x:c r="E68" s="33" t="str">
        <x:v>|CTA para vídeo longo|MP4|9:16|
8. LinkedIn
| | | |
|---|---|---|
|Entregável|Formato|Especificação|
|Post textual|Texto|Insight, análise ou aprendizado|
|Documento/carrossel|PDF|6–12 páginas|
|Vídeo nativo|MP4|Vertical, quadrado ou horizontal|
</x:v>
      </x:c>
    </x:row>
    <x:row r="69" ht="210" customHeight="1">
      <x:c r="A69" s="33" t="str">
        <x:v>GTM-06</x:v>
      </x:c>
      <x:c r="B69" s="33" t="str">
        <x:v>Especificações por canal</x:v>
      </x:c>
      <x:c r="C69" s="33" t="n">
        <x:v>387</x:v>
      </x:c>
      <x:c r="D69" s="33" t="n">
        <x:v>396</x:v>
      </x:c>
      <x:c r="E69" s="33" t="str">
        <x:v>|Framework|Imagem / PDF|Modelo visual explicativo|
|Estudo de caso|Texto / PDF|Contexto → processo → resultado|
|Artigo|Texto longo|Conteúdo técnico aprofundado|
9. X / Twitter
| | | |
|---|---|---|
|Entregável|Formato|Especificação|
|Post curto|Texto|Uma ideia central|
</x:v>
      </x:c>
    </x:row>
    <x:row r="70" ht="210" customHeight="1">
      <x:c r="A70" s="33" t="str">
        <x:v>GTM-06</x:v>
      </x:c>
      <x:c r="B70" s="33" t="str">
        <x:v>Especificações por canal</x:v>
      </x:c>
      <x:c r="C70" s="33" t="n">
        <x:v>397</x:v>
      </x:c>
      <x:c r="D70" s="33" t="n">
        <x:v>406</x:v>
      </x:c>
      <x:c r="E70" s="33" t="str">
        <x:v>|Thread|Texto sequencial|Decomposição de tema|
|Gráfico|PNG / JPG|Visual simples|
|Framework|Imagem|Síntese visual|
|Link comentado|Texto + URL|Insight + fonte|
10. Threads
| | | |
|---|---|---|
|Entregável|Formato|Especificação|
</x:v>
      </x:c>
    </x:row>
    <x:row r="71" ht="210" customHeight="1">
      <x:c r="A71" s="33" t="str">
        <x:v>GTM-06</x:v>
      </x:c>
      <x:c r="B71" s="33" t="str">
        <x:v>Especificações por canal</x:v>
      </x:c>
      <x:c r="C71" s="33" t="n">
        <x:v>407</x:v>
      </x:c>
      <x:c r="D71" s="33" t="n">
        <x:v>416</x:v>
      </x:c>
      <x:c r="E71" s="33" t="str">
        <x:v>|Insight|Texto curto|Uma ideia|
|Sequência|Posts encadeados|Desenvolvimento de argumento|
|Pergunta|Texto|Validação de audiência|
|Bastidor|Texto / imagem|Processo em andamento|
|Síntese de pesquisa|Texto|Principais achados|
11. Pinterest
| | | |
|---|---|---|
</x:v>
      </x:c>
    </x:row>
    <x:row r="72" ht="210" customHeight="1">
      <x:c r="A72" s="33" t="str">
        <x:v>GTM-06</x:v>
      </x:c>
      <x:c r="B72" s="33" t="str">
        <x:v>Especificações por canal</x:v>
      </x:c>
      <x:c r="C72" s="33" t="n">
        <x:v>417</x:v>
      </x:c>
      <x:c r="D72" s="33" t="n">
        <x:v>426</x:v>
      </x:c>
      <x:c r="E72" s="33" t="str">
        <x:v>|Entregável|Formato|Especificação|
|Pin estático|JPG / PNG|2:3 · 1000×1500|
|Infográfico|PNG|Vertical|
|Checklist|PNG / PDF visual|Vertical|
|Framework|PNG|Vertical|
|Pin vídeo|MP4|9:16|
|Template|Imagem + link|Asset evergreen|
12. Facebook
</x:v>
      </x:c>
    </x:row>
    <x:row r="73" ht="210" customHeight="1">
      <x:c r="A73" s="33" t="str">
        <x:v>GTM-06</x:v>
      </x:c>
      <x:c r="B73" s="33" t="str">
        <x:v>Especificações por canal</x:v>
      </x:c>
      <x:c r="C73" s="33" t="n">
        <x:v>427</x:v>
      </x:c>
      <x:c r="D73" s="33" t="n">
        <x:v>436</x:v>
      </x:c>
      <x:c r="E73" s="33" t="str">
        <x:v>| | | |
|---|---|---|
|Entregável|Formato|Especificação|
|Post|Texto + imagem|Distribuição geral|
|Vídeo|MP4|Horizontal ou vertical|
|Reel|MP4|9:16|
|Carrossel|Imagens|Conteúdo educativo|
|Live|Vídeo ao vivo|Aula, conversa ou lançamento|
|Link de artigo|Link + copy|Tráfego para o blog|
</x:v>
      </x:c>
    </x:row>
    <x:row r="74" ht="210" customHeight="1">
      <x:c r="A74" s="33" t="str">
        <x:v>GTM-06</x:v>
      </x:c>
      <x:c r="B74" s="33" t="str">
        <x:v>Especificações por canal</x:v>
      </x:c>
      <x:c r="C74" s="33" t="n">
        <x:v>437</x:v>
      </x:c>
      <x:c r="D74" s="33" t="n">
        <x:v>446</x:v>
      </x:c>
      <x:c r="E74" s="33" t="str">
        <x:v>13. Newsletter / E-mail
| | | |
|---|---|---|
|Entregável|Formato|Especificação|
|Newsletter editorial|HTML|1 tema principal|
|E-mail educativo|HTML / texto|Problema + evidência + aplicação|
|Estudo de caso|HTML|Contexto + resultado|
|E-mail de CTA|HTML|Ação única|
|Sequência do ciclo|3 e-mails|Educação → prova → ação|
</x:v>
      </x:c>
    </x:row>
    <x:row r="75" ht="210" customHeight="1">
      <x:c r="A75" s="33" t="str">
        <x:v>GTM-06</x:v>
      </x:c>
      <x:c r="B75" s="33" t="str">
        <x:v>Especificações por canal</x:v>
      </x:c>
      <x:c r="C75" s="33" t="n">
        <x:v>447</x:v>
      </x:c>
      <x:c r="D75" s="33" t="n">
        <x:v>456</x:v>
      </x:c>
      <x:c r="E75" s="33" t="str">
        <x:v>
14. WhatsApp
| | | |
|---|---|---|
|Entregável|Formato|Especificação|
|Mensagem curta|Texto|Atualização ou CTA|
|Resumo|Texto|Síntese do conteúdo|
|Áudio|Áudio curto|Explicação ou orientação|
|PDF|Documento|Guia, checklist, workbook|
</x:v>
      </x:c>
    </x:row>
    <x:row r="76" ht="210" customHeight="1">
      <x:c r="A76" s="33" t="str">
        <x:v>GTM-06</x:v>
      </x:c>
      <x:c r="B76" s="33" t="str">
        <x:v>Especificações por canal</x:v>
      </x:c>
      <x:c r="C76" s="33" t="n">
        <x:v>457</x:v>
      </x:c>
      <x:c r="D76" s="33" t="n">
        <x:v>466</x:v>
      </x:c>
      <x:c r="E76" s="33" t="str">
        <x:v>|Link|URL + contexto|Artigo, vídeo ou ferramenta|
15. Telegram
| | | |
|---|---|---|
|Entregável|Formato|Especificação|
|Post|Texto|Atualização / conteúdo|
|Documento|PDF / XLSX / ZIP|Asset|
|Vídeo|MP4|Conteúdo educativo|
</x:v>
      </x:c>
    </x:row>
    <x:row r="77" ht="210" customHeight="1">
      <x:c r="A77" s="33" t="str">
        <x:v>GTM-06</x:v>
      </x:c>
      <x:c r="B77" s="33" t="str">
        <x:v>Especificações por canal</x:v>
      </x:c>
      <x:c r="C77" s="33" t="n">
        <x:v>467</x:v>
      </x:c>
      <x:c r="D77" s="33" t="n">
        <x:v>476</x:v>
      </x:c>
      <x:c r="E77" s="33" t="str">
        <x:v>|Áudio|Arquivo de áudio|Conteúdo complementar|
|Link|URL|Artigo, produto ou ferramenta|
16. Podcast / Áudio
| | | |
|---|---|---|
|Entregável|Formato|Especificação|
|Episódio solo|MP3|10–30 min|
|Entrevista|MP3|20–60 min|
</x:v>
      </x:c>
    </x:row>
    <x:row r="78" ht="210" customHeight="1">
      <x:c r="A78" s="33" t="str">
        <x:v>GTM-06</x:v>
      </x:c>
      <x:c r="B78" s="33" t="str">
        <x:v>Especificações por canal</x:v>
      </x:c>
      <x:c r="C78" s="33" t="n">
        <x:v>477</x:v>
      </x:c>
      <x:c r="D78" s="33" t="n">
        <x:v>486</x:v>
      </x:c>
      <x:c r="E78" s="33" t="str">
        <x:v>|Resumo de artigo|MP3|5–15 min|
|Série temática|MP3|Episódios conectados|
|Corte em áudio|MP3|1–5 min|
17. Comunidade própria
| | | |
| ------------ | -------------------- | -------------------- |
| Entregável | Formato | Especificação |
| Discussão | Texto | Pergunta ou problema |
</x:v>
      </x:c>
    </x:row>
    <x:row r="79" ht="210" customHeight="1">
      <x:c r="A79" s="33" t="str">
        <x:v>GTM-06</x:v>
      </x:c>
      <x:c r="B79" s="33" t="str">
        <x:v>Especificações por canal</x:v>
      </x:c>
      <x:c r="C79" s="33" t="n">
        <x:v>487</x:v>
      </x:c>
      <x:c r="D79" s="33" t="n">
        <x:v>491</x:v>
      </x:c>
      <x:c r="E79" s="33" t="str">
        <x:v>| Workshop | Vídeo ao vivo | Aplicação prática |
| Pesquisa | Formulário / enquete | Validação |
| Beta | Ferramenta / link | Teste de solução |
| Template | Arquivo | Uso operacional |
| Office hours | Sessão ao vivo | Suporte e feedback |
</x:v>
      </x:c>
    </x:row>
    <x:row r="80" ht="210" customHeight="1">
      <x:c r="A80" s="33" t="str">
        <x:v>GTM-07</x:v>
      </x:c>
      <x:c r="B80" s="33" t="str">
        <x:v>Agentes</x:v>
      </x:c>
      <x:c r="C80" s="33" t="n">
        <x:v>494</x:v>
      </x:c>
      <x:c r="D80" s="33" t="n">
        <x:v>503</x:v>
      </x:c>
      <x:c r="E80" s="33" t="str">
        <x:v># F2-Agentes.
AG-01-COPILOTO OPS 
AG2-02-VERA 
AG3-RC-ESPECILISTA
AG4- [OPS-MAESTRO]
AG5 - [VIDEO MAKER ]
AG6- executar-block-quickframeworks
ag7-executar-copiloto solution store
</x:v>
      </x:c>
    </x:row>
    <x:row r="81" ht="210" customHeight="1">
      <x:c r="A81" s="33" t="str">
        <x:v>GTM-08</x:v>
      </x:c>
      <x:c r="B81" s="33" t="str">
        <x:v>Loja e Mapa Cognitivo</x:v>
      </x:c>
      <x:c r="C81" s="33" t="n">
        <x:v>504</x:v>
      </x:c>
      <x:c r="D81" s="33" t="n">
        <x:v>511</x:v>
      </x:c>
      <x:c r="E81" s="33" t="str">
        <x:v># F3- Loja 
a LOJA de ferramnetas e a central de solucoes onde todos usairos letorees das platformas vao para coletar solucoes esta concetada com os artigos,publicaoes,ctas e quickframworks.
# F4 -Mapa cognitvo
o mapa cognitvo deve ser ao estilo self-consultant interface visual linuhem simples orientada por Problema,processo,progresso. a pessoa entra filtra um problema e tem acesso ha artigos e solucoes daquela area. 
</x:v>
      </x:c>
    </x:row>
    <x:row r="82" ht="210" customHeight="1">
      <x:c r="A82" s="33" t="str">
        <x:v>GTM-09</x:v>
      </x:c>
      <x:c r="B82" s="33" t="str">
        <x:v>Evolução do schema proposta</x:v>
      </x:c>
      <x:c r="C82" s="33" t="n">
        <x:v>512</x:v>
      </x:c>
      <x:c r="D82" s="33" t="n">
        <x:v>521</x:v>
      </x:c>
      <x:c r="E82" s="33" t="str">
        <x:v># F5 -schema
o schema e oque conceta tudo isso o nodle chema [ ver schema]
A evolução correta não é criar um “superarquivo” com todos os campos atuais. É transformar o que já existe em um único contrato lógico, no qual cada componente é uma especialização ou projeção do mesmo modelo.
Hoje você já tem quase todas as peças:
| | |
|---|---|
</x:v>
      </x:c>
    </x:row>
    <x:row r="83" ht="210" customHeight="1">
      <x:c r="A83" s="33" t="str">
        <x:v>GTM-09</x:v>
      </x:c>
      <x:c r="B83" s="33" t="str">
        <x:v>Evolução do schema proposta</x:v>
      </x:c>
      <x:c r="C83" s="33" t="n">
        <x:v>522</x:v>
      </x:c>
      <x:c r="D83" s="33" t="n">
        <x:v>531</x:v>
      </x:c>
      <x:c r="E83" s="33" t="str">
        <x:v>|Componente atual|Papel futuro|
|RC-UGS-001|Kernel do schema integrado|
|Matriz de 18 campos do anexo|compatibilidade / read model, não núcleo|
|rc_knw|implementação do módulo Knowledge Graph|
|SUPER_SCHEMA_SOLUTION|perfil especializado de SOLUTION|
|Mapa Cognitivo|projeção de relation_edge|
|Quick Framework|objeto editorial derivado do conhecimento|
|executar-block-quickframeworks|representação computável/renderizável do Quick Framework|
|Copiloto|consumidor e produtor de ACTION, RECOMMENDATION, EVENT, EVIDENCE|
|OPS-Maestro|governança e orquestração cross-repo|
</x:v>
      </x:c>
    </x:row>
    <x:row r="84" ht="210" customHeight="1">
      <x:c r="A84" s="33" t="str">
        <x:v>GTM-09</x:v>
      </x:c>
      <x:c r="B84" s="33" t="str">
        <x:v>Evolução do schema proposta</x:v>
      </x:c>
      <x:c r="C84" s="33" t="n">
        <x:v>532</x:v>
      </x:c>
      <x:c r="D84" s="33" t="n">
        <x:v>541</x:v>
      </x:c>
      <x:c r="E84" s="33" t="str">
        <x:v>
O próprio RC-UGS-001 já aponta nessa direção: possui object_registry, IDs imutáveis, entidades tipadas, relações, eventos, métricas, experimentos e aprendizado. Ele também já declara LEGACY_18 como contrato de compatibilidade, portanto os 18 campos não precisam continuar sendo o schema principal. [RC Unified Governance Schema](https://github.com/Sas-Executar/LANCAMENTO/blob/main/D18__contratos-e-esquemas/unified-governance-schema-v1/schema/UNIFIED_SCHEMA.yaml)⁠
Evolução proposta: 
EXECUTAR Unified Object Schema — v2
O núcleo deveria ser:
OBJECT
</x:v>
      </x:c>
    </x:row>
    <x:row r="85" ht="210" customHeight="1">
      <x:c r="A85" s="33" t="str">
        <x:v>GTM-09</x:v>
      </x:c>
      <x:c r="B85" s="33" t="str">
        <x:v>Evolução do schema proposta</x:v>
      </x:c>
      <x:c r="C85" s="33" t="n">
        <x:v>542</x:v>
      </x:c>
      <x:c r="D85" s="33" t="n">
        <x:v>551</x:v>
      </x:c>
      <x:c r="E85" s="33" t="str">
        <x:v>
  │
  ├── KNOWLEDGE
  │    ├── Concept
  │    ├── Claim
  │    ├── Evidence
</x:v>
      </x:c>
    </x:row>
    <x:row r="86" ht="210" customHeight="1">
      <x:c r="A86" s="33" t="str">
        <x:v>GTM-09</x:v>
      </x:c>
      <x:c r="B86" s="33" t="str">
        <x:v>Evolução do schema proposta</x:v>
      </x:c>
      <x:c r="C86" s="33" t="n">
        <x:v>552</x:v>
      </x:c>
      <x:c r="D86" s="33" t="n">
        <x:v>561</x:v>
      </x:c>
      <x:c r="E86" s="33" t="str">
        <x:v>
  │    └── Source
  │
  ├── PROBLEM / RISK
  │    ├── Mechanism
  │    ├── Cognitive Demand
</x:v>
      </x:c>
    </x:row>
    <x:row r="87" ht="210" customHeight="1">
      <x:c r="A87" s="33" t="str">
        <x:v>GTM-09</x:v>
      </x:c>
      <x:c r="B87" s="33" t="str">
        <x:v>Evolução do schema proposta</x:v>
      </x:c>
      <x:c r="C87" s="33" t="n">
        <x:v>562</x:v>
      </x:c>
      <x:c r="D87" s="33" t="n">
        <x:v>571</x:v>
      </x:c>
      <x:c r="E87" s="33" t="str">
        <x:v>
  │    └── Compensation Hypothesis
  │
  ├── SOLUTION
  │    ├── Feature
  │    ├── Tool
</x:v>
      </x:c>
    </x:row>
    <x:row r="88" ht="210" customHeight="1">
      <x:c r="A88" s="33" t="str">
        <x:v>GTM-09</x:v>
      </x:c>
      <x:c r="B88" s="33" t="str">
        <x:v>Evolução do schema proposta</x:v>
      </x:c>
      <x:c r="C88" s="33" t="n">
        <x:v>572</x:v>
      </x:c>
      <x:c r="D88" s="33" t="n">
        <x:v>581</x:v>
      </x:c>
      <x:c r="E88" s="33" t="str">
        <x:v>
  │    └── Intervention
  │
  ├── CONTENT
  │    ├── Article
  │    ├── Quick Framework
</x:v>
      </x:c>
    </x:row>
    <x:row r="89" ht="210" customHeight="1">
      <x:c r="A89" s="33" t="str">
        <x:v>GTM-09</x:v>
      </x:c>
      <x:c r="B89" s="33" t="str">
        <x:v>Evolução do schema proposta</x:v>
      </x:c>
      <x:c r="C89" s="33" t="n">
        <x:v>582</x:v>
      </x:c>
      <x:c r="D89" s="33" t="n">
        <x:v>591</x:v>
      </x:c>
      <x:c r="E89" s="33" t="str">
        <x:v>
  │    ├── Quick Framework Block
  │    └── Asset / CTA
  │
  ├── EXECUTION
  │    ├── Objective
</x:v>
      </x:c>
    </x:row>
    <x:row r="90" ht="210" customHeight="1">
      <x:c r="A90" s="33" t="str">
        <x:v>GTM-09</x:v>
      </x:c>
      <x:c r="B90" s="33" t="str">
        <x:v>Evolução do schema proposta</x:v>
      </x:c>
      <x:c r="C90" s="33" t="n">
        <x:v>592</x:v>
      </x:c>
      <x:c r="D90" s="33" t="n">
        <x:v>601</x:v>
      </x:c>
      <x:c r="E90" s="33" t="str">
        <x:v>
  │    ├── Action
  │    ├── Task
  │    ├── Recommendation
  │    └── Agent
  │
</x:v>
      </x:c>
    </x:row>
    <x:row r="91" ht="210" customHeight="1">
      <x:c r="A91" s="33" t="str">
        <x:v>GTM-09</x:v>
      </x:c>
      <x:c r="B91" s="33" t="str">
        <x:v>Evolução do schema proposta</x:v>
      </x:c>
      <x:c r="C91" s="33" t="n">
        <x:v>602</x:v>
      </x:c>
      <x:c r="D91" s="33" t="n">
        <x:v>611</x:v>
      </x:c>
      <x:c r="E91" s="33" t="str">
        <x:v>
  ├── MEASUREMENT
  │    ├── Event
  │    ├── Metric
  │    ├── Experiment
  │    └── Learning
</x:v>
      </x:c>
    </x:row>
    <x:row r="92" ht="210" customHeight="1">
      <x:c r="A92" s="33" t="str">
        <x:v>GTM-09</x:v>
      </x:c>
      <x:c r="B92" s="33" t="str">
        <x:v>Evolução do schema proposta</x:v>
      </x:c>
      <x:c r="C92" s="33" t="n">
        <x:v>612</x:v>
      </x:c>
      <x:c r="D92" s="33" t="n">
        <x:v>621</x:v>
      </x:c>
      <x:c r="E92" s="33" t="str">
        <x:v>
  │
  └── RELATION_EDGE
       conecta qualquer objeto a qualquer outro
Todos herdam um contrato mínimo:
object_id:
</x:v>
      </x:c>
    </x:row>
    <x:row r="93" ht="210" customHeight="1">
      <x:c r="A93" s="33" t="str">
        <x:v>GTM-09</x:v>
      </x:c>
      <x:c r="B93" s="33" t="str">
        <x:v>Evolução do schema proposta</x:v>
      </x:c>
      <x:c r="C93" s="33" t="n">
        <x:v>622</x:v>
      </x:c>
      <x:c r="D93" s="33" t="n">
        <x:v>631</x:v>
      </x:c>
      <x:c r="E93" s="33" t="str">
        <x:v>
object_type:
title:
version:
status:
epistemic_class:
</x:v>
      </x:c>
    </x:row>
    <x:row r="94" ht="210" customHeight="1">
      <x:c r="A94" s="33" t="str">
        <x:v>GTM-09</x:v>
      </x:c>
      <x:c r="B94" s="33" t="str">
        <x:v>Evolução do schema proposta</x:v>
      </x:c>
      <x:c r="C94" s="33" t="n">
        <x:v>632</x:v>
      </x:c>
      <x:c r="D94" s="33" t="n">
        <x:v>641</x:v>
      </x:c>
      <x:c r="E94" s="33" t="str">
        <x:v>
validation_status:
owner_id:
canonical_uri:
source_object_id:
created_at:
</x:v>
      </x:c>
    </x:row>
    <x:row r="95" ht="210" customHeight="1">
      <x:c r="A95" s="33" t="str">
        <x:v>GTM-09</x:v>
      </x:c>
      <x:c r="B95" s="33" t="str">
        <x:v>Evolução do schema proposta</x:v>
      </x:c>
      <x:c r="C95" s="33" t="n">
        <x:v>642</x:v>
      </x:c>
      <x:c r="D95" s="33" t="n">
        <x:v>651</x:v>
      </x:c>
      <x:c r="E95" s="33" t="str">
        <x:v>
updated_at:
provenance:
metadata:
Isso preserva exatamente o princípio já existente no UGS: um objeto especializado continua registrado como objeto canônico único.
Onde entra a matriz de 18 campos
</x:v>
      </x:c>
    </x:row>
    <x:row r="96" ht="210" customHeight="1">
      <x:c r="A96" s="33" t="str">
        <x:v>GTM-09</x:v>
      </x:c>
      <x:c r="B96" s="33" t="str">
        <x:v>Evolução do schema proposta</x:v>
      </x:c>
      <x:c r="C96" s="33" t="n">
        <x:v>652</x:v>
      </x:c>
      <x:c r="D96" s="33" t="n">
        <x:v>661</x:v>
      </x:c>
      <x:c r="E96" s="33" t="str">
        <x:v>
Ela deixa de ser “o schema” e passa a ser uma view de Evidência → Produto.
O anexo modela:
função de gestão → capacidade humana → vulnerabilidade/evidência → impacto → compensação → conclusão de produto/design. 
✅ ADM-26-21-08.docx
No modelo normalizado, isso vira:
</x:v>
      </x:c>
    </x:row>
    <x:row r="97" ht="210" customHeight="1">
      <x:c r="A97" s="33" t="str">
        <x:v>GTM-09</x:v>
      </x:c>
      <x:c r="B97" s="33" t="str">
        <x:v>Evolução do schema proposta</x:v>
      </x:c>
      <x:c r="C97" s="33" t="n">
        <x:v>662</x:v>
      </x:c>
      <x:c r="D97" s="33" t="n">
        <x:v>671</x:v>
      </x:c>
      <x:c r="E97" s="33" t="str">
        <x:v>
MANAGEMENT_FUNCTION
        ↓ requires
HUMAN_CAPACITY
        ↓ associated_with
EVIDENCE / CLAIM
</x:v>
      </x:c>
    </x:row>
    <x:row r="98" ht="210" customHeight="1">
      <x:c r="A98" s="33" t="str">
        <x:v>GTM-09</x:v>
      </x:c>
      <x:c r="B98" s="33" t="str">
        <x:v>Evolução do schema proposta</x:v>
      </x:c>
      <x:c r="C98" s="33" t="n">
        <x:v>672</x:v>
      </x:c>
      <x:c r="D98" s="33" t="n">
        <x:v>681</x:v>
      </x:c>
      <x:c r="E98" s="33" t="str">
        <x:v>
        ↓ explains
MECHANISM / RISK
        ↓ produces
OPERATIONAL_IMPACT
        ↓ addressed_by
</x:v>
      </x:c>
    </x:row>
    <x:row r="99" ht="210" customHeight="1">
      <x:c r="A99" s="33" t="str">
        <x:v>GTM-09</x:v>
      </x:c>
      <x:c r="B99" s="33" t="str">
        <x:v>Evolução do schema proposta</x:v>
      </x:c>
      <x:c r="C99" s="33" t="n">
        <x:v>682</x:v>
      </x:c>
      <x:c r="D99" s="33" t="n">
        <x:v>691</x:v>
      </x:c>
      <x:c r="E99" s="33" t="str">
        <x:v>
COMPENSATION_HYPOTHESIS
        ↓ implemented_by
SOLUTION / FEATURE
        ↓ validated_by
EXPERIMENT / METRIC
</x:v>
      </x:c>
    </x:row>
    <x:row r="100" ht="210" customHeight="1">
      <x:c r="A100" s="33" t="str">
        <x:v>GTM-09</x:v>
      </x:c>
      <x:c r="B100" s="33" t="str">
        <x:v>Evolução do schema proposta</x:v>
      </x:c>
      <x:c r="C100" s="33" t="n">
        <x:v>692</x:v>
      </x:c>
      <x:c r="D100" s="33" t="n">
        <x:v>701</x:v>
      </x:c>
      <x:c r="E100" s="33" t="str">
        <x:v>
Assim você mantém os 18 campos para impressão, auditoria e compatibilidade, mas deixa de duplicar informação.
Onde entram 5W2H + SCQA + PDCA + JTBD
Aqui está uma evolução importante: esses frameworks não devem virar dezenas de colunas do schema.
Crie uma entidade genérica:
framework_application:
</x:v>
      </x:c>
    </x:row>
    <x:row r="101" ht="210" customHeight="1">
      <x:c r="A101" s="33" t="str">
        <x:v>GTM-09</x:v>
      </x:c>
      <x:c r="B101" s="33" t="str">
        <x:v>Evolução do schema proposta</x:v>
      </x:c>
      <x:c r="C101" s="33" t="n">
        <x:v>702</x:v>
      </x:c>
      <x:c r="D101" s="33" t="n">
        <x:v>711</x:v>
      </x:c>
      <x:c r="E101" s="33" t="str">
        <x:v>
  framework_application_id:
  framework_id:
  subject_object_id:
  purpose:
  inputs:
</x:v>
      </x:c>
    </x:row>
    <x:row r="102" ht="210" customHeight="1">
      <x:c r="A102" s="33" t="str">
        <x:v>GTM-09</x:v>
      </x:c>
      <x:c r="B102" s="33" t="str">
        <x:v>Evolução do schema proposta</x:v>
      </x:c>
      <x:c r="C102" s="33" t="n">
        <x:v>712</x:v>
      </x:c>
      <x:c r="D102" s="33" t="n">
        <x:v>721</x:v>
      </x:c>
      <x:c r="E102" s="33" t="str">
        <x:v>
  outputs:
  evidence_refs:
  epistemic_class:
  version:
E então:
</x:v>
      </x:c>
    </x:row>
    <x:row r="103" ht="210" customHeight="1">
      <x:c r="A103" s="33" t="str">
        <x:v>GTM-09</x:v>
      </x:c>
      <x:c r="B103" s="33" t="str">
        <x:v>Evolução do schema proposta</x:v>
      </x:c>
      <x:c r="C103" s="33" t="n">
        <x:v>722</x:v>
      </x:c>
      <x:c r="D103" s="33" t="n">
        <x:v>731</x:v>
      </x:c>
      <x:c r="E103" s="33" t="str">
        <x:v>
FW-5W2H → aplicação sobre Solution
FW-SCQA → aplicação sobre Problem/Article
FW-PDCA → aplicação sobre Process/Execution
FW-JTBD → aplicação sobre Problem/Solution/User
Dessa forma, a combinação:
</x:v>
      </x:c>
    </x:row>
    <x:row r="104" ht="210" customHeight="1">
      <x:c r="A104" s="33" t="str">
        <x:v>GTM-09</x:v>
      </x:c>
      <x:c r="B104" s="33" t="str">
        <x:v>Evolução do schema proposta</x:v>
      </x:c>
      <x:c r="C104" s="33" t="n">
        <x:v>732</x:v>
      </x:c>
      <x:c r="D104" s="33" t="n">
        <x:v>741</x:v>
      </x:c>
      <x:c r="E104" s="33" t="str">
        <x:v>
JTBD + SCQA + 5W2H + PDCA
vira uma camada analítica reutilizável, e não a arquitetura dos dados. Isso também está alinhado à própria executar-safe-frameworks, que determina que frameworks organizam evidência, não criam evidência. [Executar Safe Frameworks](https://github.com/Sas-Executar/01-Executar-Echo/blob/main/skills/executar-safe-frameworks/SKILL.md)⁠
Quick Framework e Block
Também separaria definitivamente os dois conceitos:
QUICK_FRAMEWORK
</x:v>
      </x:c>
    </x:row>
    <x:row r="105" ht="210" customHeight="1">
      <x:c r="A105" s="33" t="str">
        <x:v>GTM-09</x:v>
      </x:c>
      <x:c r="B105" s="33" t="str">
        <x:v>Evolução do schema proposta</x:v>
      </x:c>
      <x:c r="C105" s="33" t="n">
        <x:v>742</x:v>
      </x:c>
      <x:c r="D105" s="33" t="n">
        <x:v>751</x:v>
      </x:c>
      <x:c r="E105" s="33" t="str">
        <x:v>
= conteúdo/conhecimento canônico
QUICK_FRAMEWORK_BLOCK
= representação daquele conteúdo para uma interface
Exemplo:
</x:v>
      </x:c>
    </x:row>
    <x:row r="106" ht="210" customHeight="1">
      <x:c r="A106" s="33" t="str">
        <x:v>GTM-09</x:v>
      </x:c>
      <x:c r="B106" s="33" t="str">
        <x:v>Evolução do schema proposta</x:v>
      </x:c>
      <x:c r="C106" s="33" t="n">
        <x:v>752</x:v>
      </x:c>
      <x:c r="D106" s="33" t="n">
        <x:v>761</x:v>
      </x:c>
      <x:c r="E106" s="33" t="str">
        <x:v>
CON-001
  ↓ explained_by
QF-001
  ↓ rendered_as
QFB-001
</x:v>
      </x:c>
    </x:row>
    <x:row r="107" ht="210" customHeight="1">
      <x:c r="A107" s="33" t="str">
        <x:v>GTM-09</x:v>
      </x:c>
      <x:c r="B107" s="33" t="str">
        <x:v>Evolução do schema proposta</x:v>
      </x:c>
      <x:c r="C107" s="33" t="n">
        <x:v>762</x:v>
      </x:c>
      <x:c r="D107" s="33" t="n">
        <x:v>771</x:v>
      </x:c>
      <x:c r="E107" s="33" t="str">
        <x:v>
QF-001 guarda problema, processo, progresso, frameworks, claims e evidências.
QFB-001 guarda layout, componentes, ordem, CTA, variant e regras de renderização.
Assim Blog, Vera, mobile ou Copiloto podem apresentar o mesmo QF de maneiras diferentes sem duplicar conhecimento.
Solution Store
O SUPER_SCHEMA_SOLUTION não precisa desaparecer. Ele deve virar um profile/schema composto de SOLUTION.
</x:v>
      </x:c>
    </x:row>
    <x:row r="108" ht="210" customHeight="1">
      <x:c r="A108" s="33" t="str">
        <x:v>GTM-09</x:v>
      </x:c>
      <x:c r="B108" s="33" t="str">
        <x:v>Evolução do schema proposta</x:v>
      </x:c>
      <x:c r="C108" s="33" t="n">
        <x:v>772</x:v>
      </x:c>
      <x:c r="D108" s="33" t="n">
        <x:v>781</x:v>
      </x:c>
      <x:c r="E108" s="33" t="str">
        <x:v>
Hoje ele já possui classificação, camada pública, 5W2H, casos de uso, riscos, assets, lifecycle e gates. [SUPER_SCHEMA_SOLUTION](https://github.com/Sas-Executar/LANCAMENTO/blob/main/D19__assets-e-cta/solution-store/SUPER_SCHEMA_SOLUTION.yaml)⁠
A evolução seria:
EXECUTAR-UGS
       ↓
SOLUTION profile
</x:v>
      </x:c>
    </x:row>
    <x:row r="109" ht="210" customHeight="1">
      <x:c r="A109" s="33" t="str">
        <x:v>GTM-09</x:v>
      </x:c>
      <x:c r="B109" s="33" t="str">
        <x:v>Evolução do schema proposta</x:v>
      </x:c>
      <x:c r="C109" s="33" t="n">
        <x:v>782</x:v>
      </x:c>
      <x:c r="D109" s="33" t="n">
        <x:v>791</x:v>
      </x:c>
      <x:c r="E109" s="33" t="str">
        <x:v>
       ↓
SUPER_SCHEMA_SOLUTION
       ↓
STORE SUBMISSION
Ou seja: Store não cria outra ontologia; consome o schema comum.
</x:v>
      </x:c>
    </x:row>
    <x:row r="110" ht="210" customHeight="1">
      <x:c r="A110" s="33" t="str">
        <x:v>GTM-09</x:v>
      </x:c>
      <x:c r="B110" s="33" t="str">
        <x:v>Evolução do schema proposta</x:v>
      </x:c>
      <x:c r="C110" s="33" t="n">
        <x:v>792</x:v>
      </x:c>
      <x:c r="D110" s="33" t="n">
        <x:v>801</x:v>
      </x:c>
      <x:c r="E110" s="33" t="str">
        <x:v>
Mapa Cognitivo
Também não necessita de schema próprio.
Ele deve ser uma projeção de:
object_registry
+
</x:v>
      </x:c>
    </x:row>
    <x:row r="111" ht="210" customHeight="1">
      <x:c r="A111" s="33" t="str">
        <x:v>GTM-09</x:v>
      </x:c>
      <x:c r="B111" s="33" t="str">
        <x:v>Evolução do schema proposta</x:v>
      </x:c>
      <x:c r="C111" s="33" t="n">
        <x:v>802</x:v>
      </x:c>
      <x:c r="D111" s="33" t="n">
        <x:v>811</x:v>
      </x:c>
      <x:c r="E111" s="33" t="str">
        <x:v>
relation_edge
Exemplo:
Problem
  ├── EXPLAINED_BY → Mechanism
  ├── SUPPORTED_BY → Evidence
</x:v>
      </x:c>
    </x:row>
    <x:row r="112" ht="210" customHeight="1">
      <x:c r="A112" s="33" t="str">
        <x:v>GTM-09</x:v>
      </x:c>
      <x:c r="B112" s="33" t="str">
        <x:v>Evolução do schema proposta</x:v>
      </x:c>
      <x:c r="C112" s="33" t="n">
        <x:v>812</x:v>
      </x:c>
      <x:c r="D112" s="33" t="n">
        <x:v>821</x:v>
      </x:c>
      <x:c r="E112" s="33" t="str">
        <x:v>
  ├── RELATED_TO → Concept
  ├── ADDRESSED_BY → Solution
  └── EXPLAINED_IN → Quick Framework
O mapa passa então a ser view, não fonte de verdade.
Copiloto
</x:v>
      </x:c>
    </x:row>
    <x:row r="113" ht="210" customHeight="1">
      <x:c r="A113" s="33" t="str">
        <x:v>GTM-09</x:v>
      </x:c>
      <x:c r="B113" s="33" t="str">
        <x:v>Evolução do schema proposta</x:v>
      </x:c>
      <x:c r="C113" s="33" t="n">
        <x:v>822</x:v>
      </x:c>
      <x:c r="D113" s="33" t="n">
        <x:v>831</x:v>
      </x:c>
      <x:c r="E113" s="33" t="str">
        <x:v>
O Copiloto opera a extremidade executiva:
USER INTENT
      ↓
EXECUTION_CONTEXT
      ↓
</x:v>
      </x:c>
    </x:row>
    <x:row r="114" ht="210" customHeight="1">
      <x:c r="A114" s="33" t="str">
        <x:v>GTM-09</x:v>
      </x:c>
      <x:c r="B114" s="33" t="str">
        <x:v>Evolução do schema proposta</x:v>
      </x:c>
      <x:c r="C114" s="33" t="n">
        <x:v>832</x:v>
      </x:c>
      <x:c r="D114" s="33" t="n">
        <x:v>841</x:v>
      </x:c>
      <x:c r="E114" s="33" t="str">
        <x:v>
PROBLEM / OBJECT LOOKUP
      ↓
JTBD / relations
      ↓
SOLUTION candidates
</x:v>
      </x:c>
    </x:row>
    <x:row r="115" ht="210" customHeight="1">
      <x:c r="A115" s="33" t="str">
        <x:v>GTM-09</x:v>
      </x:c>
      <x:c r="B115" s="33" t="str">
        <x:v>Evolução do schema proposta</x:v>
      </x:c>
      <x:c r="C115" s="33" t="n">
        <x:v>842</x:v>
      </x:c>
      <x:c r="D115" s="33" t="n">
        <x:v>851</x:v>
      </x:c>
      <x:c r="E115" s="33" t="str">
        <x:v>
      ↓
RECOMMENDATION
      ↓
ACTION
      ↓
</x:v>
      </x:c>
    </x:row>
    <x:row r="116" ht="210" customHeight="1">
      <x:c r="A116" s="33" t="str">
        <x:v>GTM-09</x:v>
      </x:c>
      <x:c r="B116" s="33" t="str">
        <x:v>Evolução do schema proposta</x:v>
      </x:c>
      <x:c r="C116" s="33" t="n">
        <x:v>852</x:v>
      </x:c>
      <x:c r="D116" s="33" t="n">
        <x:v>861</x:v>
      </x:c>
      <x:c r="E116" s="33" t="str">
        <x:v>
EVIDENCE
      ↓
METRIC
      ↓
LEARNING
</x:v>
      </x:c>
    </x:row>
    <x:row r="117" ht="210" customHeight="1">
      <x:c r="A117" s="33" t="str">
        <x:v>GTM-09</x:v>
      </x:c>
      <x:c r="B117" s="33" t="str">
        <x:v>Evolução do schema proposta</x:v>
      </x:c>
      <x:c r="C117" s="33" t="n">
        <x:v>862</x:v>
      </x:c>
      <x:c r="D117" s="33" t="n">
        <x:v>871</x:v>
      </x:c>
      <x:c r="E117" s="33" t="str">
        <x:v>
A Issue #1 já determina que Blog, Store e Copiloto devem manter seus centros canônicos enquanto o OPS-Maestro cria contratos explícitos entre eles, sem cópias divergentes. [OPS-Maestro Issue #1](https://github.com/Sas-Executar/OPS-Maestro/issues/1)⁠
Arquitetura final
Eu evoluiria a cadeia anterior para:
                     EXECUTAR UNIFIED OBJECT SCHEMA
                                  │
</x:v>
      </x:c>
    </x:row>
    <x:row r="118" ht="210" customHeight="1">
      <x:c r="A118" s="33" t="str">
        <x:v>GTM-09</x:v>
      </x:c>
      <x:c r="B118" s="33" t="str">
        <x:v>Evolução do schema proposta</x:v>
      </x:c>
      <x:c r="C118" s="33" t="n">
        <x:v>872</x:v>
      </x:c>
      <x:c r="D118" s="33" t="n">
        <x:v>881</x:v>
      </x:c>
      <x:c r="E118" s="33" t="str">
        <x:v>
             ┌────────────────────┼────────────────────┐
             │                    │                    │
         KNOWLEDGE             PRODUCT             EXECUTION
             │                    │                    │
Concept → Claim → Evidence     Solution          Context → Action
</x:v>
      </x:c>
    </x:row>
    <x:row r="119" ht="210" customHeight="1">
      <x:c r="A119" s="33" t="str">
        <x:v>GTM-09</x:v>
      </x:c>
      <x:c r="B119" s="33" t="str">
        <x:v>Evolução do schema proposta</x:v>
      </x:c>
      <x:c r="C119" s="33" t="n">
        <x:v>882</x:v>
      </x:c>
      <x:c r="D119" s="33" t="n">
        <x:v>891</x:v>
      </x:c>
      <x:c r="E119" s="33" t="str">
        <x:v>
             │                    │                    │
             └────── RELATION GRAPH / OBJECT REGISTRY ┘
                                  │
              ┌───────────────────┼───────────────────┐
              │                   │                   │
</x:v>
      </x:c>
    </x:row>
    <x:row r="120" ht="210" customHeight="1">
      <x:c r="A120" s="33" t="str">
        <x:v>GTM-09</x:v>
      </x:c>
      <x:c r="B120" s="33" t="str">
        <x:v>Evolução do schema proposta</x:v>
      </x:c>
      <x:c r="C120" s="33" t="n">
        <x:v>892</x:v>
      </x:c>
      <x:c r="D120" s="33" t="n">
        <x:v>901</x:v>
      </x:c>
      <x:c r="E120" s="33" t="str">
        <x:v>
       Quick Framework      Solution Store        Copiloto
              │                   │                   │
       Framework Block       Tool / Asset         Recommendation
              │                   │                   │
              └──────────────→ RESULT ←──────────────┘
</x:v>
      </x:c>
    </x:row>
    <x:row r="121" ht="210" customHeight="1">
      <x:c r="A121" s="33" t="str">
        <x:v>GTM-09</x:v>
      </x:c>
      <x:c r="B121" s="33" t="str">
        <x:v>Evolução do schema proposta</x:v>
      </x:c>
      <x:c r="C121" s="33" t="n">
        <x:v>902</x:v>
      </x:c>
      <x:c r="D121" s="33" t="n">
        <x:v>911</x:v>
      </x:c>
      <x:c r="E121" s="33" t="str">
        <x:v>
                                  │
                           Metric / Experiment
                                  │
                              Learning
                                  │
</x:v>
      </x:c>
    </x:row>
    <x:row r="122" ht="210" customHeight="1">
      <x:c r="A122" s="33" t="str">
        <x:v>GTM-09</x:v>
      </x:c>
      <x:c r="B122" s="33" t="str">
        <x:v>Evolução do schema proposta</x:v>
      </x:c>
      <x:c r="C122" s="33" t="n">
        <x:v>912</x:v>
      </x:c>
      <x:c r="D122" s="33" t="n">
        <x:v>921</x:v>
      </x:c>
      <x:c r="E122" s="33" t="str">
        <x:v>
                              version/update
                                  ↓
                     EXECUTAR UNIFIED OBJECT SCHEMA
Em uma frase
A evolução é sair de “vários schemas que se integram” para “um schema canônico de objetos, relações, evidências e eventos, do qual Store, Mapa, Quick Frameworks, Blog e Copiloto são profiles, views e consumidores”.
</x:v>
      </x:c>
    </x:row>
    <x:row r="123" ht="210" customHeight="1">
      <x:c r="A123" s="33" t="str">
        <x:v>GTM-09</x:v>
      </x:c>
      <x:c r="B123" s="33" t="str">
        <x:v>Evolução do schema proposta</x:v>
      </x:c>
      <x:c r="C123" s="33" t="n">
        <x:v>922</x:v>
      </x:c>
      <x:c r="D123" s="33" t="n">
        <x:v>923</x:v>
      </x:c>
      <x:c r="E123" s="33" t="str">
        <x:v>
Isso reduz a arquitetura sem perder especialização: uma identidade, uma proveniência, um grafo, vários usos.
</x:v>
      </x:c>
    </x:row>
    <x:row r="124" ht="210" customHeight="1">
      <x:c r="A124" s="33" t="str">
        <x:v>GTM-10</x:v>
      </x:c>
      <x:c r="B124" s="33" t="str">
        <x:v>Quick Frameworks e entrypoints</x:v>
      </x:c>
      <x:c r="C124" s="33" t="n">
        <x:v>924</x:v>
      </x:c>
      <x:c r="D124" s="33" t="n">
        <x:v>933</x:v>
      </x:c>
      <x:c r="E124" s="33" t="str">
        <x:v># F6-Quickframweorks 
# F7- MEUS ENTRYPOISTS 
</x:v>
      </x:c>
    </x:row>
    <x:row r="125" ht="210" customHeight="1">
      <x:c r="A125" s="33" t="str">
        <x:v>GTM-10</x:v>
      </x:c>
      <x:c r="B125" s="33" t="str">
        <x:v>Quick Frameworks e entrypoints</x:v>
      </x:c>
      <x:c r="C125" s="33" t="n">
        <x:v>934</x:v>
      </x:c>
      <x:c r="D125" s="33" t="n">
        <x:v>943</x:v>
      </x:c>
      <x:c r="E125" s="33" t="str">
        <x:v>
- Active Campaning 
- Plataforam de distruibcao 
- dependicais 
- rotas manual 
- primsa ocmo camada de mapa 
- notion
No catálogo executar-safe-frameworks, a combinação formal encontrada é 5W2H + PDCA + JTBD; trato SQCA como SCQA, PDCPA como PDCA e JBTD como JTBD. O schema anexado fornece a matriz de 18 campos que conecta função de gestão, capacidade humana, evidência, impacto operacional, compensação e conclusão de produto/design. 
</x:v>
      </x:c>
    </x:row>
    <x:row r="126" ht="210" customHeight="1">
      <x:c r="A126" s="33" t="str">
        <x:v>GTM-10</x:v>
      </x:c>
      <x:c r="B126" s="33" t="str">
        <x:v>Quick Frameworks e entrypoints</x:v>
      </x:c>
      <x:c r="C126" s="33" t="n">
        <x:v>944</x:v>
      </x:c>
      <x:c r="D126" s="33" t="n">
        <x:v>945</x:v>
      </x:c>
      <x:c r="E126" s="33" t="str">
        <x:v>✅ ADM-26-21-08.docx
</x:v>
      </x:c>
    </x:row>
    <x:row r="127" ht="210" customHeight="1">
      <x:c r="A127" s="33" t="str">
        <x:v>GTM-11</x:v>
      </x:c>
      <x:c r="B127" s="33" t="str">
        <x:v>Pipeline Solution Store</x:v>
      </x:c>
      <x:c r="C127" s="33" t="n">
        <x:v>946</x:v>
      </x:c>
      <x:c r="D127" s="33" t="n">
        <x:v>955</x:v>
      </x:c>
      <x:c r="E127" s="33" t="str">
        <x:v>1. LOJA DE FERRAMENTAS — SOLUTION STORE
- JTBD: quando usuário/agente identifica um problema operacional, encontrar uma solução utilizável sem reconstruir contexto.
- SCQA:
- S: soluções existem em múltiplos formatos.
- C: sem contrato comum, classificação, evidência e publicação divergem.
- Q: como transformar artefatos em produtos encontráveis e reutilizáveis?
- A: SUPER_SCHEMA_SOLUTION + pipeline canônico da Solution Store.
</x:v>
      </x:c>
    </x:row>
    <x:row r="128" ht="210" customHeight="1">
      <x:c r="A128" s="33" t="str">
        <x:v>GTM-11</x:v>
      </x:c>
      <x:c r="B128" s="33" t="str">
        <x:v>Pipeline Solution Store</x:v>
      </x:c>
      <x:c r="C128" s="33" t="n">
        <x:v>956</x:v>
      </x:c>
      <x:c r="D128" s="33" t="n">
        <x:v>965</x:v>
      </x:c>
      <x:c r="E128" s="33" t="str">
        <x:v>- 5W2H:
- What: catálogo de ferramentas, templates, skills, workflows, ebooks, prompts e plugins.
- Why: transformar conhecimento em solução reutilizável.
- Where: LANCAMENTO/D19__assets-e-cta/solution-store/.
- Who: Oficina, agentes, Copiloto e usuário final.
- When: após ingestão/classificação e antes da publicação.
- How: INGEST → CLASSIFY → SCHEMA → BUNDLE → EDITORIAL → DERIVE → QA → STORE SUBMISSION → PUBLISH.
- How much: schema contém matriz de 18 campos, controle interno de 24 campos, 3 melhores casos e 3 anti-use cases.
</x:v>
      </x:c>
    </x:row>
    <x:row r="129" ht="210" customHeight="1">
      <x:c r="A129" s="33" t="str">
        <x:v>GTM-11</x:v>
      </x:c>
      <x:c r="B129" s="33" t="str">
        <x:v>Pipeline Solution Store</x:v>
      </x:c>
      <x:c r="C129" s="33" t="n">
        <x:v>966</x:v>
      </x:c>
      <x:c r="D129" s="33" t="n">
        <x:v>968</x:v>
      </x:c>
      <x:c r="E129" s="33" t="str">
        <x:v>- PDCA: estruturar → produzir → validar → publicar/aprender.
- Status: CANÔNICO.
</x:v>
      </x:c>
    </x:row>
    <x:row r="130" ht="210" customHeight="1">
      <x:c r="A130" s="33" t="str">
        <x:v>GTM-12</x:v>
      </x:c>
      <x:c r="B130" s="33" t="str">
        <x:v>Mapa relacional</x:v>
      </x:c>
      <x:c r="C130" s="33" t="n">
        <x:v>969</x:v>
      </x:c>
      <x:c r="D130" s="33" t="n">
        <x:v>978</x:v>
      </x:c>
      <x:c r="E130" s="33" t="str">
        <x:v>2. MAPA COGNITIVO / RELACIONAL
- JTBD: permitir que usuário ou agente navegue de um problema até conceitos, evidências, relações e soluções pertinentes.
- SCQA: conhecimento já existe → está fragmentado → como recuperar contexto sem depender de navegação manual? → construir grafo relacional baseado em IDs canônicos.
- 5W2H:
- What: projeção navegável de conceito → claim → evidência → fonte → relação → solução.
- Why: externalizar contexto e reduzir reconstrução cognitiva.
- Where: Blog/Vera/Copiloto; alimentado pelo Knowledge Master Index.
- Who: usuário, Vera e agentes.
</x:v>
      </x:c>
    </x:row>
    <x:row r="131" ht="210" customHeight="1">
      <x:c r="A131" s="33" t="str">
        <x:v>GTM-12</x:v>
      </x:c>
      <x:c r="B131" s="33" t="str">
        <x:v>Mapa relacional</x:v>
      </x:c>
      <x:c r="C131" s="33" t="n">
        <x:v>979</x:v>
      </x:c>
      <x:c r="D131" s="33" t="n">
        <x:v>984</x:v>
      </x:c>
      <x:c r="E131" s="33" t="str">
        <x:v>- How: nós tipados + relações rastreáveis + deep links.
- How much: atualmente existem candidatos/rotas no corpus, não um produto único comprovadamente denominado “Mapa Cognitivo”.
- PDCA: mapear → navegar → observar uso → recalibrar relações.
- Status: ARQUITETURA/PROJEÇÃO, distinguir de MapaOS e do BLOG-09 Mapa Interativo.
</x:v>
      </x:c>
    </x:row>
    <x:row r="132" ht="210" customHeight="1">
      <x:c r="A132" s="33" t="str">
        <x:v>GTM-13</x:v>
      </x:c>
      <x:c r="B132" s="33" t="str">
        <x:v>Governança RC-UGS</x:v>
      </x:c>
      <x:c r="C132" s="33" t="n">
        <x:v>985</x:v>
      </x:c>
      <x:c r="D132" s="33" t="n">
        <x:v>994</x:v>
      </x:c>
      <x:c r="E132" s="33" t="str">
        <x:v>3. SCHEMA PADRÃO — RC UNIFIED GOVERNANCE SCHEMA
- JTBD: manter uma linguagem única entre pesquisa, produto, solução, operação e aprendizado.
- SCQA: múltiplos documentos possuem estruturas distintas → IDs e estados podem divergir → como manter rastreabilidade ponta a ponta? → contrato canônico versionado.
- 5W2H:
- What: RC-UGS-001.
- Why: conectar evidência a decisão sem misturar fato, inferência e resultado.
- Where: LANCAMENTO/D18__contratos-e-esquemas/unified-governance-schema-v1/.
- How: EVIDENCE → CLAIM → MECHANISM → RISK → HYPOTHESIS → SOLUTION → ASSET/ACTION → METRIC → LEARNING → DECISION.
</x:v>
      </x:c>
    </x:row>
    <x:row r="133" ht="210" customHeight="1">
      <x:c r="A133" s="33" t="str">
        <x:v>GTM-13</x:v>
      </x:c>
      <x:c r="B133" s="33" t="str">
        <x:v>Governança RC-UGS</x:v>
      </x:c>
      <x:c r="C133" s="33" t="n">
        <x:v>995</x:v>
      </x:c>
      <x:c r="D133" s="33" t="n">
        <x:v>999</x:v>
      </x:c>
      <x:c r="E133" s="33" t="str">
        <x:v>
- Regra: ID canônico imutável, versão, estado, classe epistêmica, proveniência e relações tipadas.
- O anexo reforça que a próxima evolução deve transformar a matriz em requisitos funcionais verificáveis e separar evidência clínica de decisão arquitetural.
- Status: PROPOSED, com compatibilidade LEGACY_18.
</x:v>
      </x:c>
    </x:row>
    <x:row r="134" ht="210" customHeight="1">
      <x:c r="A134" s="33" t="str">
        <x:v>GTM-14</x:v>
      </x:c>
      <x:c r="B134" s="33" t="str">
        <x:v>Quick Frameworks</x:v>
      </x:c>
      <x:c r="C134" s="33" t="n">
        <x:v>1000</x:v>
      </x:c>
      <x:c r="D134" s="33" t="n">
        <x:v>1007</x:v>
      </x:c>
      <x:c r="E134" s="33" t="str">
        <x:v>4. QUICK FRAMEWORKS
- JTBD: aprofundar rapidamente um conceito secundário sem exigir um artigo-mãe completo.
- SCQA: artigos principais introduzem muitos conceitos → produzir artigo longo para cada conceito não escala → criar unidades compactas rastreáveis.
- Formato-base: Resumo Executivo + 5W2H + Problema/Processo/Progresso + tabela + infográfico + ferramenta associada.
- IDs recomendados: Concept_ID, Claim_ID, Evidence_ID, Source_ID, Tool_ID, Parent_Article_ID.
- Critério: conceito autônomo, relevante, evidenciado, aplicável e reutilizável.
- Prioridade: P0 essencial → P1 alta utilidade → P2 complementar → P3 especializada.
</x:v>
      </x:c>
    </x:row>
    <x:row r="135" ht="210" customHeight="1">
      <x:c r="A135" s="33" t="str">
        <x:v>GTM-14</x:v>
      </x:c>
      <x:c r="B135" s="33" t="str">
        <x:v>Quick Frameworks</x:v>
      </x:c>
      <x:c r="C135" s="33" t="n">
        <x:v>1008</x:v>
      </x:c>
      <x:c r="D135" s="33" t="n">
        <x:v>1010</x:v>
      </x:c>
      <x:c r="E135" s="33" t="str">
        <x:v>- PDCA: selecionar candidato → produzir → validar evidência → publicar/repriorizar.
- Status: existem 8 candidatos registrados; candidato não significa publicado.
</x:v>
      </x:c>
    </x:row>
    <x:row r="136" ht="210" customHeight="1">
      <x:c r="A136" s="33" t="str">
        <x:v>GTM-15</x:v>
      </x:c>
      <x:c r="B136" s="33" t="str">
        <x:v>Block Quick Framework</x:v>
      </x:c>
      <x:c r="C136" s="33" t="n">
        <x:v>1011</x:v>
      </x:c>
      <x:c r="D136" s="33" t="n">
        <x:v>1017</x:v>
      </x:c>
      <x:c r="E136" s="33" t="str">
        <x:v>5. EXECUTAR-BLOCK-QUICKFRAMEWORKS
- JTBD: transformar o Quick Framework em um bloco computável e reutilizável por Blog, Vera, Copiloto e interfaces.
- Contrato sugerido: identity + parent + problem + process + progress + 5W2H + claims + evidences + relations + tool + CTA + presentation.
- SCQA: Quick Framework textual é útil → mas difícil de reutilizar programaticamente → bloco estruturado resolve composição e renderização.
- PDCA: gerar do schema → renderizar → validar IDs/evidências → versionar.
- Gate: nenhuma afirmação factual sem Evidence_ID/Source_ID; inferências marcadas.
</x:v>
      </x:c>
    </x:row>
    <x:row r="137" ht="210" customHeight="1">
      <x:c r="A137" s="33" t="str">
        <x:v>GTM-15</x:v>
      </x:c>
      <x:c r="B137" s="33" t="str">
        <x:v>Block Quick Framework</x:v>
      </x:c>
      <x:c r="C137" s="33" t="n">
        <x:v>1018</x:v>
      </x:c>
      <x:c r="D137" s="33" t="n">
        <x:v>1019</x:v>
      </x:c>
      <x:c r="E137" s="33" t="str">
        <x:v>- Status: não encontrei artefato canônico com o nome exato executar-block-quickframeworks; deve ser tratado como especificação/derivação até ser formalizado.
</x:v>
      </x:c>
    </x:row>
    <x:row r="138" ht="210" customHeight="1">
      <x:c r="A138" s="33" t="str">
        <x:v>GTM-16</x:v>
      </x:c>
      <x:c r="B138" s="33" t="str">
        <x:v>Copiloto e integração</x:v>
      </x:c>
      <x:c r="C138" s="33" t="n">
        <x:v>1020</x:v>
      </x:c>
      <x:c r="D138" s="33" t="n">
        <x:v>1029</x:v>
      </x:c>
      <x:c r="E138" s="33" t="str">
        <x:v>6. AG7 — EXECUTAR COPILOTO × SOLUTION STORE
- JTBD: usuário descreve o que precisa; Copiloto identifica contexto e entrega/aciona a solução correta da Store.
- SCQA: Store conhece soluções e Copiloto conhece intenção operacional → hoje são centros canônicos separados → precisam de contrato, não duplicação.
- 5W2H:
- What: agente/orquestrador entre intenção, tarefa e solução.
- Where: Copiloto em 01-Executar-Echo; Store em LANCAMENTO/D19.
- How: intent → contexto → busca/classificação → solution ID → adequação → execução/handoff → evidência.
</x:v>
      </x:c>
    </x:row>
    <x:row r="139" ht="210" customHeight="1">
      <x:c r="A139" s="33" t="str">
        <x:v>GTM-16</x:v>
      </x:c>
      <x:c r="B139" s="33" t="str">
        <x:v>Copiloto e integração</x:v>
      </x:c>
      <x:c r="C139" s="33" t="n">
        <x:v>1030</x:v>
      </x:c>
      <x:c r="D139" s="33" t="n">
        <x:v>1039</x:v>
      </x:c>
      <x:c r="E139" s="33" t="str">
        <x:v>- PDCA: interpretar → executar/indicar → verificar resultado → registrar aprendizado.
- Governança: OPS-Maestro apenas orquestra; não copia a fonte canônica.
- Status: integração explicitamente prevista na Issue #1, incluindo contratos Blog ↔ Copiloto ↔ Store e ativação das skills/plugin pelo Maestro.
Fonte de integração: [OPS-Maestro Issue #1](https://github.com/Sas-Executar/OPS-Maestro/issues/1)⁠.
A relação entre esses tópicos forma uma cadeia única de conhecimento → estrutura → solução → execução:
</x:v>
      </x:c>
    </x:row>
    <x:row r="140" ht="210" customHeight="1">
      <x:c r="A140" s="33" t="str">
        <x:v>GTM-16</x:v>
      </x:c>
      <x:c r="B140" s="33" t="str">
        <x:v>Copiloto e integração</x:v>
      </x:c>
      <x:c r="C140" s="33" t="n">
        <x:v>1040</x:v>
      </x:c>
      <x:c r="D140" s="33" t="n">
        <x:v>1043</x:v>
      </x:c>
      <x:c r="E140" s="33" t="str">
        <x:v>O Schema Padrão é a base de governança. Ele define como cada objeto deve existir no sistema: ID, versão, estado, classe epistêmica, evidência, relações, métricas e histórico. É o contrato comum que impede Blog, Copiloto, Mapa e Solution Store de criarem objetos incompatíveis. No material anexado, a lógica central já conecta função de gestão → capacidade humana → evidência → impacto operacional → compensação → conclusão de produto/design. ✅ ADM-26-21-08.docx
</x:v>
      </x:c>
    </x:row>
    <x:row r="141" ht="210" customHeight="1">
      <x:c r="A141" s="33" t="str">
        <x:v>GTM-16</x:v>
      </x:c>
      <x:c r="B141" s="33" t="str">
        <x:v>Copiloto e integração</x:v>
      </x:c>
      <x:c r="C141" s="33" t="n">
        <x:v>1044</x:v>
      </x:c>
      <x:c r="D141" s="33" t="n">
        <x:v>1051</x:v>
      </x:c>
      <x:c r="E141" s="33" t="str">
        <x:v>O Mapa Cognitivo usa esses objetos e relações do schema para representar o conhecimento como grafo. Ele conecta problema, conceito, claim, evidência, fonte, risco, mecanismo, solução e ferramenta. Sua função é responder “como as coisas estão relacionadas?” e permitir que Blog, Vera e Copiloto naveguem pelo mesmo conhecimento.
Os Quick Frameworks são unidades pequenas de explicação derivadas desse mapa. Quando um conceito merece aprofundamento, ele pode virar um Quick Framework: uma explicação curta, rastreável e reutilizável, normalmente estruturada por problema, processo, progresso, 5W2H, evidências e ferramenta relacionada.
</x:v>
      </x:c>
    </x:row>
    <x:row r="142" ht="210" customHeight="1">
      <x:c r="A142" s="33" t="str">
        <x:v>GTM-16</x:v>
      </x:c>
      <x:c r="B142" s="33" t="str">
        <x:v>Copiloto e integração</x:v>
      </x:c>
      <x:c r="C142" s="33" t="n">
        <x:v>1052</x:v>
      </x:c>
      <x:c r="D142" s="33" t="n">
        <x:v>1059</x:v>
      </x:c>
      <x:c r="E142" s="33" t="str">
        <x:v>O executar-block-quickframeworks é a transformação desse Quick Framework em um bloco estruturado para software. Em vez de existir apenas como texto, passa a ter campos como Concept_ID, Claim_ID, Evidence_ID, Tool_ID, CTA e relações. Isso permite que diferentes interfaces renderizem o mesmo conteúdo sem reescrevê-lo.
A Solution Store é onde as soluções práticas relacionadas a esses problemas e conceitos são empacotadas e publicadas. O fluxo é aproximadamente: conhecimento → problema → solução → schema da solução → bundle → QA → publicação. Ela responde “qual ferramenta existe para ajudar neste problema?”.
</x:v>
      </x:c>
    </x:row>
    <x:row r="143" ht="210" customHeight="1">
      <x:c r="A143" s="33" t="str">
        <x:v>GTM-16</x:v>
      </x:c>
      <x:c r="B143" s="33" t="str">
        <x:v>Copiloto e integração</x:v>
      </x:c>
      <x:c r="C143" s="33" t="n">
        <x:v>1060</x:v>
      </x:c>
      <x:c r="D143" s="33" t="n">
        <x:v>1069</x:v>
      </x:c>
      <x:c r="E143" s="33" t="str">
        <x:v>O EXECUTAR Copiloto funciona como camada de interação e orquestração. O usuário não precisa conhecer IDs, schemas ou nomes das ferramentas. Ele pode dizer o que precisa; o Copiloto interpreta a intenção, consulta o contexto operacional e o mapa de conhecimento, identifica a solução adequada na Solution Store e orienta ou executa o próximo passo.
O OPS-Maestro fica acima disso como camada de governança/orquestração cross-repo. Ele não deve substituir as fontes canônicas; coordena os contratos entre Copiloto, Blog e Solution Store.
Em uma linha:
</x:v>
      </x:c>
    </x:row>
    <x:row r="144" ht="210" customHeight="1">
      <x:c r="A144" s="33" t="str">
        <x:v>GTM-16</x:v>
      </x:c>
      <x:c r="B144" s="33" t="str">
        <x:v>Copiloto e integração</x:v>
      </x:c>
      <x:c r="C144" s="33" t="n">
        <x:v>1070</x:v>
      </x:c>
      <x:c r="D144" s="33" t="n">
        <x:v>1079</x:v>
      </x:c>
      <x:c r="E144" s="33" t="str">
        <x:v> 
Schema Padrão → Mapa Cognitivo → Quick Framework → Block Quick Framework → Solution Store → Copiloto → Execução → Evidência/Resultado → aprendizado volta ao Schema/Mapa.
Ou, semanticamente:
</x:v>
      </x:c>
    </x:row>
    <x:row r="145" ht="210" customHeight="1">
      <x:c r="A145" s="33" t="str">
        <x:v>GTM-16</x:v>
      </x:c>
      <x:c r="B145" s="33" t="str">
        <x:v>Copiloto e integração</x:v>
      </x:c>
      <x:c r="C145" s="33" t="n">
        <x:v>1080</x:v>
      </x:c>
      <x:c r="D145" s="33" t="n">
        <x:v>1082</x:v>
      </x:c>
      <x:c r="E145" s="33" t="str">
        <x:v>Conhecimento → relação → explicação → componente → solução → agente → ação → resultado → aprendizado.
Encontrei no seu Google Drive a definição da Área PEM em documentos como CENTRAL DE CONTROLE e PROMPT MESTRE — PRÉ-PREENCHIMENTO DOCUMENTAL DO ECOSSISTEMA.
</x:v>
      </x:c>
    </x:row>
    <x:row r="146" ht="210" customHeight="1">
      <x:c r="A146" s="33" t="str">
        <x:v>GTM-17</x:v>
      </x:c>
      <x:c r="B146" s="33" t="str">
        <x:v>PEM e seus 14 tópicos</x:v>
      </x:c>
      <x:c r="C146" s="33" t="n">
        <x:v>1083</x:v>
      </x:c>
      <x:c r="D146" s="33" t="n">
        <x:v>1092</x:v>
      </x:c>
      <x:c r="E146" s="33" t="str">
        <x:v>D16 — PEM
Documento: D16-DOC-PEM-001 
Nome: Plano Estratégico de Mídias Sociais
Os tópicos obrigatórios do entregável são:
1. Objectives
- objetivos
</x:v>
      </x:c>
    </x:row>
    <x:row r="147" ht="210" customHeight="1">
      <x:c r="A147" s="33" t="str">
        <x:v>GTM-17</x:v>
      </x:c>
      <x:c r="B147" s="33" t="str">
        <x:v>PEM e seus 14 tópicos</x:v>
      </x:c>
      <x:c r="C147" s="33" t="n">
        <x:v>1093</x:v>
      </x:c>
      <x:c r="D147" s="33" t="n">
        <x:v>1102</x:v>
      </x:c>
      <x:c r="E147" s="33" t="str">
        <x:v>
3. Audience
- públicos
5. Channels
- canal
- função
</x:v>
      </x:c>
    </x:row>
    <x:row r="148" ht="210" customHeight="1">
      <x:c r="A148" s="33" t="str">
        <x:v>GTM-17</x:v>
      </x:c>
      <x:c r="B148" s="33" t="str">
        <x:v>PEM e seus 14 tópicos</x:v>
      </x:c>
      <x:c r="C148" s="33" t="n">
        <x:v>1103</x:v>
      </x:c>
      <x:c r="D148" s="33" t="n">
        <x:v>1112</x:v>
      </x:c>
      <x:c r="E148" s="33" t="str">
        <x:v>7. Content Pillars
- pilar
- tese
9. Formats
- artigo
- vídeo
- carrossel
</x:v>
      </x:c>
    </x:row>
    <x:row r="149" ht="210" customHeight="1">
      <x:c r="A149" s="33" t="str">
        <x:v>GTM-17</x:v>
      </x:c>
      <x:c r="B149" s="33" t="str">
        <x:v>PEM e seus 14 tópicos</x:v>
      </x:c>
      <x:c r="C149" s="33" t="n">
        <x:v>1113</x:v>
      </x:c>
      <x:c r="D149" s="33" t="n">
        <x:v>1122</x:v>
      </x:c>
      <x:c r="E149" s="33" t="str">
        <x:v>- story
- newsletter
11. Editorial Calendar
- data
- tema
- canal
13. Production
</x:v>
      </x:c>
    </x:row>
    <x:row r="150" ht="210" customHeight="1">
      <x:c r="A150" s="33" t="str">
        <x:v>GTM-17</x:v>
      </x:c>
      <x:c r="B150" s="33" t="str">
        <x:v>PEM e seus 14 tópicos</x:v>
      </x:c>
      <x:c r="C150" s="33" t="n">
        <x:v>1123</x:v>
      </x:c>
      <x:c r="D150" s="33" t="n">
        <x:v>1132</x:v>
      </x:c>
      <x:c r="E150" s="33" t="str">
        <x:v>
- pesquisa
- texto
- visual
- revisão
15. Repurposing
- fonte
- derivados
</x:v>
      </x:c>
    </x:row>
    <x:row r="151" ht="210" customHeight="1">
      <x:c r="A151" s="33" t="str">
        <x:v>GTM-17</x:v>
      </x:c>
      <x:c r="B151" s="33" t="str">
        <x:v>PEM e seus 14 tópicos</x:v>
      </x:c>
      <x:c r="C151" s="33" t="n">
        <x:v>1133</x:v>
      </x:c>
      <x:c r="D151" s="33" t="n">
        <x:v>1142</x:v>
      </x:c>
      <x:c r="E151" s="33" t="str">
        <x:v>
17. Distribution
- orgânico
- comunidade
- parceria
19. CTA
- CTA
</x:v>
      </x:c>
    </x:row>
    <x:row r="152" ht="210" customHeight="1">
      <x:c r="A152" s="33" t="str">
        <x:v>GTM-17</x:v>
      </x:c>
      <x:c r="B152" s="33" t="str">
        <x:v>PEM e seus 14 tópicos</x:v>
      </x:c>
      <x:c r="C152" s="33" t="n">
        <x:v>1143</x:v>
      </x:c>
      <x:c r="D152" s="33" t="n">
        <x:v>1152</x:v>
      </x:c>
      <x:c r="E152" s="33" t="str">
        <x:v>- destino
21. Community
- resposta
- moderação
23. Measurement
- alcance
</x:v>
      </x:c>
    </x:row>
    <x:row r="153" ht="210" customHeight="1">
      <x:c r="A153" s="33" t="str">
        <x:v>GTM-17</x:v>
      </x:c>
      <x:c r="B153" s="33" t="str">
        <x:v>PEM e seus 14 tópicos</x:v>
      </x:c>
      <x:c r="C153" s="33" t="n">
        <x:v>1153</x:v>
      </x:c>
      <x:c r="D153" s="33" t="n">
        <x:v>1162</x:v>
      </x:c>
      <x:c r="E153" s="33" t="str">
        <x:v>- engajamento
- clique
- conversão
25. Governance
- owner
- aprovação
27. Brand Compliance
</x:v>
      </x:c>
    </x:row>
    <x:row r="154" ht="210" customHeight="1">
      <x:c r="A154" s="33" t="str">
        <x:v>GTM-17</x:v>
      </x:c>
      <x:c r="B154" s="33" t="str">
        <x:v>PEM e seus 14 tópicos</x:v>
      </x:c>
      <x:c r="C154" s="33" t="n">
        <x:v>1163</x:v>
      </x:c>
      <x:c r="D154" s="33" t="n">
        <x:v>1168</x:v>
      </x:c>
      <x:c r="E154" s="33" t="str">
        <x:v>
- voz
- visual
- claims
Portanto, o PEM possui 14 tópicos principais de entrega.
</x:v>
      </x:c>
    </x:row>
    <x:row r="155" ht="210" customHeight="1">
      <x:c r="A155" s="33" t="str">
        <x:v>GTM-18</x:v>
      </x:c>
      <x:c r="B155" s="33" t="str">
        <x:v>Foundation Doc</x:v>
      </x:c>
      <x:c r="C155" s="33" t="n">
        <x:v>1169</x:v>
      </x:c>
      <x:c r="D155" s="33" t="n">
        <x:v>1178</x:v>
      </x:c>
      <x:c r="E155" s="33" t="str">
        <x:v>Estrutura do Foundation Doc
- 00 — Project Character
- Identidade, propósito e caráter do projeto.
- 01 — Frameworks Description
</x:v>
      </x:c>
    </x:row>
    <x:row r="156" ht="210" customHeight="1">
      <x:c r="A156" s="33" t="str">
        <x:v>GTM-18</x:v>
      </x:c>
      <x:c r="B156" s="33" t="str">
        <x:v>Foundation Doc</x:v>
      </x:c>
      <x:c r="C156" s="33" t="n">
        <x:v>1179</x:v>
      </x:c>
      <x:c r="D156" s="33" t="n">
        <x:v>1188</x:v>
      </x:c>
      <x:c r="E156" s="33" t="str">
        <x:v>- Frameworks, métodos e modelos adotados.
- 02 — PRD Description
- Requisitos de produto, objetivos, escopo e funcionalidades.
- 03 — Tech Description
- Arquitetura técnica, stack, integrações e requisitos tecnológicos.
</x:v>
      </x:c>
    </x:row>
    <x:row r="157" ht="210" customHeight="1">
      <x:c r="A157" s="33" t="str">
        <x:v>GTM-18</x:v>
      </x:c>
      <x:c r="B157" s="33" t="str">
        <x:v>Foundation Doc</x:v>
      </x:c>
      <x:c r="C157" s="33" t="n">
        <x:v>1189</x:v>
      </x:c>
      <x:c r="D157" s="33" t="n">
        <x:v>1198</x:v>
      </x:c>
      <x:c r="E157" s="33" t="str">
        <x:v>- 04 — Editorial Description
- Estratégia editorial, conteúdo, voz, formato e publicação.
- 05 — Pain Description
- Problemas, dores, riscos e necessidades que o projeto busca resolver.
- 06 — Agent Description
</x:v>
      </x:c>
    </x:row>
    <x:row r="158" ht="210" customHeight="1">
      <x:c r="A158" s="33" t="str">
        <x:v>GTM-18</x:v>
      </x:c>
      <x:c r="B158" s="33" t="str">
        <x:v>Foundation Doc</x:v>
      </x:c>
      <x:c r="C158" s="33" t="n">
        <x:v>1199</x:v>
      </x:c>
      <x:c r="D158" s="33" t="n">
        <x:v>1208</x:v>
      </x:c>
      <x:c r="E158" s="33" t="str">
        <x:v>- Agentes de IA, papéis, responsabilidades, habilidades e limites.
- 07 — Operation Description
- Modelo operacional, fluxos, governança e procedimentos.
- 08 — Tasks and Issues
- Tarefas, pendências, problemas e itens de execução.
</x:v>
      </x:c>
    </x:row>
    <x:row r="159" ht="210" customHeight="1">
      <x:c r="A159" s="33" t="str">
        <x:v>GTM-18</x:v>
      </x:c>
      <x:c r="B159" s="33" t="str">
        <x:v>Foundation Doc</x:v>
      </x:c>
      <x:c r="C159" s="33" t="n">
        <x:v>1209</x:v>
      </x:c>
      <x:c r="D159" s="33" t="n">
        <x:v>1218</x:v>
      </x:c>
      <x:c r="E159" s="33" t="str">
        <x:v>- 09 — Sprints, Roadmaps and Chronogram
- Sprints, roadmap, cronograma, marcos e sequência de execução.
- 10 — Control
- Controles, acompanhamento, status, métricas e mecanismos de governança.
- 11 — Complete System Mental Model
</x:v>
      </x:c>
    </x:row>
  </x:sheetData>
  <x:pageMargins left="0.7" right="0.7" top="0.75" bottom="0.75" header="0.3" footer="0.3"/>
  <x:tableParts count="1">
    <x:tablePart xmlns:r="http://schemas.openxmlformats.org/officeDocument/2006/relationships" r:id="Rf442793f308f4b65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27" hidden="0" customWidth="1"/>
    <x:col min="3" max="3" width="65" hidden="0" customWidth="1"/>
    <x:col min="4" max="4" width="100" hidden="0" customWidth="1"/>
    <x:col min="5" max="5" width="20" hidden="0" customWidth="1"/>
    <x:col min="6" max="6" width="24" hidden="0" customWidth="1"/>
    <x:col min="7" max="7" width="17" hidden="0" customWidth="1"/>
  </x:cols>
  <x:sheetData>
    <x:row r="1">
      <x:c r="A1" s="24"/>
      <x:c r="B1" s="24"/>
      <x:c r="C1" s="24"/>
      <x:c r="D1" s="24"/>
      <x:c r="E1" s="24"/>
      <x:c r="F1" s="24"/>
      <x:c r="G1" s="24"/>
    </x:row>
    <x:row r="2">
      <x:c r="A2" s="26" t="str">
        <x:v>Canais previstos no GTM</x:v>
      </x:c>
      <x:c r="B2" s="24"/>
      <x:c r="C2" s="24"/>
      <x:c r="D2" s="24"/>
      <x:c r="E2" s="24"/>
      <x:c r="F2" s="24"/>
      <x:c r="G2" s="24"/>
    </x:row>
    <x:row r="3">
      <x:c r="A3" s="24"/>
      <x:c r="B3" s="24"/>
      <x:c r="C3" s="24"/>
      <x:c r="D3" s="24"/>
      <x:c r="E3" s="24"/>
      <x:c r="F3" s="24"/>
      <x:c r="G3" s="24"/>
    </x:row>
    <x:row r="4">
      <x:c r="A4" s="24"/>
      <x:c r="B4" s="24"/>
      <x:c r="C4" s="24"/>
      <x:c r="D4" s="24"/>
      <x:c r="E4" s="24"/>
      <x:c r="F4" s="24"/>
      <x:c r="G4" s="24"/>
    </x:row>
    <x:row r="5" ht="32" customHeight="1">
      <x:c r="A5" s="32" t="str">
        <x:v>Canal_ID</x:v>
      </x:c>
      <x:c r="B5" s="32" t="str">
        <x:v>Canal</x:v>
      </x:c>
      <x:c r="C5" s="32" t="str">
        <x:v>Objetivo</x:v>
      </x:c>
      <x:c r="D5" s="32" t="str">
        <x:v>Formatos previstos</x:v>
      </x:c>
      <x:c r="E5" s="32" t="str">
        <x:v>Ativação</x:v>
      </x:c>
      <x:c r="F5" s="32" t="str">
        <x:v>Responsável</x:v>
      </x:c>
      <x:c r="G5" s="32" t="str">
        <x:v>Fonte_ID</x:v>
      </x:c>
    </x:row>
    <x:row r="6" ht="62" customHeight="1">
      <x:c r="A6" s="33" t="str">
        <x:v>CAN-01</x:v>
      </x:c>
      <x:c r="B6" s="33" t="str">
        <x:v>Blog EXECUTAR</x:v>
      </x:c>
      <x:c r="C6" s="33" t="str">
        <x:v>Autoridade, profundidade, SEO/GEO, construção de conhecimento e conversão para ferramentas/produtos.</x:v>
      </x:c>
      <x:c r="D6" s="33" t="str">
        <x:v>Artigo-mãe, tutorial, guia técnico, estudo de caso, framework, checklist, diagnóstico, comparativo, infográfico incorporado, CTA para ferramenta.</x:v>
      </x:c>
      <x:c r="E6" s="33" t="str">
        <x:v>A decidir</x:v>
      </x:c>
      <x:c r="F6" s="33" t="str">
        <x:v>A definir</x:v>
      </x:c>
      <x:c r="G6" s="33" t="str">
        <x:v>GTM-04</x:v>
      </x:c>
    </x:row>
    <x:row r="7" ht="62" customHeight="1">
      <x:c r="A7" s="33" t="str">
        <x:v>CAN-02</x:v>
      </x:c>
      <x:c r="B7" s="33" t="str">
        <x:v>Instagram Feed</x:v>
      </x:c>
      <x:c r="C7" s="33" t="str">
        <x:v>Awareness, consideração, construção de identidade editorial e distribuição visual dos conceitos.</x:v>
      </x:c>
      <x:c r="D7" s="33" t="str">
        <x:v>Carrossel, imagem estática, gráfico, framework visual, checklist, quote contextualizada, miniestudo de caso.</x:v>
      </x:c>
      <x:c r="E7" s="33" t="str">
        <x:v>A decidir</x:v>
      </x:c>
      <x:c r="F7" s="33" t="str">
        <x:v>A definir</x:v>
      </x:c>
      <x:c r="G7" s="33" t="str">
        <x:v>GTM-04</x:v>
      </x:c>
    </x:row>
    <x:row r="8" ht="62" customHeight="1">
      <x:c r="A8" s="33" t="str">
        <x:v>CAN-03</x:v>
      </x:c>
      <x:c r="B8" s="33" t="str">
        <x:v>Instagram Reels</x:v>
      </x:c>
      <x:c r="C8" s="33" t="str">
        <x:v>Descoberta e expansão de alcance.</x:v>
      </x:c>
      <x:c r="D8" s="33" t="str">
        <x:v>Vídeos verticais curtos, cortes do vídeo-mãe, explicação rápida, demonstração, mito × fato, problema → solução, série temática.</x:v>
      </x:c>
      <x:c r="E8" s="33" t="str">
        <x:v>A decidir</x:v>
      </x:c>
      <x:c r="F8" s="33" t="str">
        <x:v>A definir</x:v>
      </x:c>
      <x:c r="G8" s="33" t="str">
        <x:v>GTM-04</x:v>
      </x:c>
    </x:row>
    <x:row r="9" ht="62" customHeight="1">
      <x:c r="A9" s="33" t="str">
        <x:v>CAN-04</x:v>
      </x:c>
      <x:c r="B9" s="33" t="str">
        <x:v>Instagram Stories</x:v>
      </x:c>
      <x:c r="C9" s="33" t="str">
        <x:v>Ativação, interação, validação de interesse e prova social.</x:v>
      </x:c>
      <x:c r="D9" s="33" t="str">
        <x:v>Sequências narrativas, enquete, perguntas, quiz, bastidores, CTA, demonstração de ferramenta, prova/resultado, teaser.</x:v>
      </x:c>
      <x:c r="E9" s="33" t="str">
        <x:v>A decidir</x:v>
      </x:c>
      <x:c r="F9" s="33" t="str">
        <x:v>A definir</x:v>
      </x:c>
      <x:c r="G9" s="33" t="str">
        <x:v>GTM-04</x:v>
      </x:c>
    </x:row>
    <x:row r="10" ht="62" customHeight="1">
      <x:c r="A10" s="33" t="str">
        <x:v>CAN-05</x:v>
      </x:c>
      <x:c r="B10" s="33" t="str">
        <x:v>TikTok</x:v>
      </x:c>
      <x:c r="C10" s="33" t="str">
        <x:v>Descoberta, teste rápido de narrativas e captura de sinais da audiência.</x:v>
      </x:c>
      <x:c r="D10" s="33" t="str">
        <x:v>Vídeo vertical, microtutorial, explicação curta, storytelling, série, resposta a comentário, demonstração, opinião técnica contextualizada.</x:v>
      </x:c>
      <x:c r="E10" s="33" t="str">
        <x:v>A decidir</x:v>
      </x:c>
      <x:c r="F10" s="33" t="str">
        <x:v>A definir</x:v>
      </x:c>
      <x:c r="G10" s="33" t="str">
        <x:v>GTM-04</x:v>
      </x:c>
    </x:row>
    <x:row r="11" ht="62" customHeight="1">
      <x:c r="A11" s="33" t="str">
        <x:v>CAN-06</x:v>
      </x:c>
      <x:c r="B11" s="33" t="str">
        <x:v>YouTube</x:v>
      </x:c>
      <x:c r="C11" s="33" t="str">
        <x:v>Autoridade, profundidade, educação e retenção de longo prazo.</x:v>
      </x:c>
      <x:c r="D11" s="33" t="str">
        <x:v>Vídeo-mãe, tutorial completo, aula prática, estudo de caso, demonstração de ferramenta, entrevista, análise, série temática.</x:v>
      </x:c>
      <x:c r="E11" s="33" t="str">
        <x:v>A decidir</x:v>
      </x:c>
      <x:c r="F11" s="33" t="str">
        <x:v>A definir</x:v>
      </x:c>
      <x:c r="G11" s="33" t="str">
        <x:v>GTM-04</x:v>
      </x:c>
    </x:row>
    <x:row r="12" ht="62" customHeight="1">
      <x:c r="A12" s="33" t="str">
        <x:v>CAN-07</x:v>
      </x:c>
      <x:c r="B12" s="33" t="str">
        <x:v>YouTube Shorts</x:v>
      </x:c>
      <x:c r="C12" s="33" t="str">
        <x:v>Descoberta e direcionamento para conteúdos mais profundos.</x:v>
      </x:c>
      <x:c r="D12" s="33" t="str">
        <x:v>Cortes, insights únicos, conceitos rápidos, perguntas/respostas, demonstrações breves, teaser do vídeo-mãe.</x:v>
      </x:c>
      <x:c r="E12" s="33" t="str">
        <x:v>A decidir</x:v>
      </x:c>
      <x:c r="F12" s="33" t="str">
        <x:v>A definir</x:v>
      </x:c>
      <x:c r="G12" s="33" t="str">
        <x:v>GTM-04</x:v>
      </x:c>
    </x:row>
    <x:row r="13" ht="62" customHeight="1">
      <x:c r="A13" s="33" t="str">
        <x:v>CAN-08</x:v>
      </x:c>
      <x:c r="B13" s="33" t="str">
        <x:v>LinkedIn</x:v>
      </x:c>
      <x:c r="C13" s="33" t="str">
        <x:v>Autoridade profissional/B2B, posicionamento técnico e desenvolvimento de relacionamento com profissionais e organizações.</x:v>
      </x:c>
      <x:c r="D13" s="33" t="str">
        <x:v>Post textual, artigo, documento/carrossel, vídeo nativo, framework, estudo de caso, análise de processo, aprendizados de projeto, pesquisa e dados.</x:v>
      </x:c>
      <x:c r="E13" s="33" t="str">
        <x:v>A decidir</x:v>
      </x:c>
      <x:c r="F13" s="33" t="str">
        <x:v>A definir</x:v>
      </x:c>
      <x:c r="G13" s="33" t="str">
        <x:v>GTM-04</x:v>
      </x:c>
    </x:row>
    <x:row r="14" ht="62" customHeight="1">
      <x:c r="A14" s="33" t="str">
        <x:v>CAN-09</x:v>
      </x:c>
      <x:c r="B14" s="33" t="str">
        <x:v>Facebook</x:v>
      </x:c>
      <x:c r="C14" s="33" t="str">
        <x:v>Redistribuição, comunidade e alcance complementar para públicos específicos.</x:v>
      </x:c>
      <x:c r="D14" s="33" t="str">
        <x:v>Posts, vídeos, carrosséis, links para artigos, lives, grupos, eventos e conteúdos educativos.</x:v>
      </x:c>
      <x:c r="E14" s="33" t="str">
        <x:v>A decidir</x:v>
      </x:c>
      <x:c r="F14" s="33" t="str">
        <x:v>A definir</x:v>
      </x:c>
      <x:c r="G14" s="33" t="str">
        <x:v>GTM-04</x:v>
      </x:c>
    </x:row>
    <x:row r="15" ht="62" customHeight="1">
      <x:c r="A15" s="33" t="str">
        <x:v>CAN-10</x:v>
      </x:c>
      <x:c r="B15" s="33" t="str">
        <x:v>Threads</x:v>
      </x:c>
      <x:c r="C15" s="33" t="str">
        <x:v>Conversação, construção de narrativa curta e experimentação de ideias.</x:v>
      </x:c>
      <x:c r="D15" s="33" t="str">
        <x:v>Posts curtos, sequências, insights, perguntas, bastidores, comentários sobre pesquisas e conceitos em desenvolvimento.</x:v>
      </x:c>
      <x:c r="E15" s="33" t="str">
        <x:v>A decidir</x:v>
      </x:c>
      <x:c r="F15" s="33" t="str">
        <x:v>A definir</x:v>
      </x:c>
      <x:c r="G15" s="33" t="str">
        <x:v>GTM-04</x:v>
      </x:c>
    </x:row>
    <x:row r="16" ht="62" customHeight="1">
      <x:c r="A16" s="33" t="str">
        <x:v>CAN-11</x:v>
      </x:c>
      <x:c r="B16" s="33" t="str">
        <x:v>X / Twitter</x:v>
      </x:c>
      <x:c r="C16" s="33" t="str">
        <x:v>Distribuição rápida de ideias, networking e acompanhamento de discussões técnicas.</x:v>
      </x:c>
      <x:c r="D16" s="33" t="str">
        <x:v>Posts curtos, threads, gráficos, comentários de pesquisa, links, sínteses, frameworks e atualizações.</x:v>
      </x:c>
      <x:c r="E16" s="33" t="str">
        <x:v>A decidir</x:v>
      </x:c>
      <x:c r="F16" s="33" t="str">
        <x:v>A definir</x:v>
      </x:c>
      <x:c r="G16" s="33" t="str">
        <x:v>GTM-04</x:v>
      </x:c>
    </x:row>
    <x:row r="17" ht="62" customHeight="1">
      <x:c r="A17" s="33" t="str">
        <x:v>CAN-12</x:v>
      </x:c>
      <x:c r="B17" s="33" t="str">
        <x:v>Pinterest</x:v>
      </x:c>
      <x:c r="C17" s="33" t="str">
        <x:v>Descoberta visual e geração de tráfego recorrente para conteúdos evergreen.</x:v>
      </x:c>
      <x:c r="D17" s="33" t="str">
        <x:v>Infográficos, diagramas, checklists, mapas, frameworks, capas de artigos, fichas visuais e templates.</x:v>
      </x:c>
      <x:c r="E17" s="33" t="str">
        <x:v>A decidir</x:v>
      </x:c>
      <x:c r="F17" s="33" t="str">
        <x:v>A definir</x:v>
      </x:c>
      <x:c r="G17" s="33" t="str">
        <x:v>GTM-04</x:v>
      </x:c>
    </x:row>
    <x:row r="18" ht="62" customHeight="1">
      <x:c r="A18" s="33" t="str">
        <x:v>CAN-13</x:v>
      </x:c>
      <x:c r="B18" s="33" t="str">
        <x:v>Reddit</x:v>
      </x:c>
      <x:c r="C18" s="33" t="str">
        <x:v>Pesquisa qualitativa, participação em comunidades e identificação de problemas reais.</x:v>
      </x:c>
      <x:c r="D18" s="33" t="str">
        <x:v>Discussões, respostas aprofundadas, perguntas, estudos de caso, explicações técnicas e coleta de feedback.</x:v>
      </x:c>
      <x:c r="E18" s="33" t="str">
        <x:v>A decidir</x:v>
      </x:c>
      <x:c r="F18" s="33" t="str">
        <x:v>A definir</x:v>
      </x:c>
      <x:c r="G18" s="33" t="str">
        <x:v>GTM-04</x:v>
      </x:c>
    </x:row>
    <x:row r="19" ht="62" customHeight="1">
      <x:c r="A19" s="33" t="str">
        <x:v>CAN-14</x:v>
      </x:c>
      <x:c r="B19" s="33" t="str">
        <x:v>WhatsApp</x:v>
      </x:c>
      <x:c r="C19" s="33" t="str">
        <x:v>Relacionamento direto, retenção e ativação de audiência própria.</x:v>
      </x:c>
      <x:c r="D19" s="33" t="str">
        <x:v>Newsletter curta, atualização, link de conteúdo, checklist, PDF, áudio, convite, lembrete e distribuição segmentada.</x:v>
      </x:c>
      <x:c r="E19" s="33" t="str">
        <x:v>A decidir</x:v>
      </x:c>
      <x:c r="F19" s="33" t="str">
        <x:v>A definir</x:v>
      </x:c>
      <x:c r="G19" s="33" t="str">
        <x:v>GTM-04</x:v>
      </x:c>
    </x:row>
    <x:row r="20" ht="62" customHeight="1">
      <x:c r="A20" s="33" t="str">
        <x:v>CAN-15</x:v>
      </x:c>
      <x:c r="B20" s="33" t="str">
        <x:v>Telegram</x:v>
      </x:c>
      <x:c r="C20" s="33" t="str">
        <x:v>Comunidade, distribuição direta e biblioteca de materiais.</x:v>
      </x:c>
      <x:c r="D20" s="33" t="str">
        <x:v>Posts, PDFs, links, vídeos, áudios, arquivos, atualizações e conteúdos exclusivos.</x:v>
      </x:c>
      <x:c r="E20" s="33" t="str">
        <x:v>A decidir</x:v>
      </x:c>
      <x:c r="F20" s="33" t="str">
        <x:v>A definir</x:v>
      </x:c>
      <x:c r="G20" s="33" t="str">
        <x:v>GTM-04</x:v>
      </x:c>
    </x:row>
    <x:row r="21" ht="62" customHeight="1">
      <x:c r="A21" s="33" t="str">
        <x:v>CAN-16</x:v>
      </x:c>
      <x:c r="B21" s="33" t="str">
        <x:v>Newsletter / E-mail</x:v>
      </x:c>
      <x:c r="C21" s="33" t="str">
        <x:v>Relacionamento próprio, aprofundamento, nutrição e conversão.</x:v>
      </x:c>
      <x:c r="D21" s="33" t="str">
        <x:v>Newsletter editorial, sequência educativa, estudo de caso, resumo do artigo, ferramenta, diagnóstico, lançamento, CTA e oferta.</x:v>
      </x:c>
      <x:c r="E21" s="33" t="str">
        <x:v>A decidir</x:v>
      </x:c>
      <x:c r="F21" s="33" t="str">
        <x:v>A definir</x:v>
      </x:c>
      <x:c r="G21" s="33" t="str">
        <x:v>GTM-04</x:v>
      </x:c>
    </x:row>
    <x:row r="22" ht="62" customHeight="1">
      <x:c r="A22" s="33" t="str">
        <x:v>CAN-17</x:v>
      </x:c>
      <x:c r="B22" s="33" t="str">
        <x:v>Podcast / Áudio</x:v>
      </x:c>
      <x:c r="C22" s="33" t="str">
        <x:v>Profundidade, construção de autoridade e consumo em contexto de baixa atenção visual.</x:v>
      </x:c>
      <x:c r="D22" s="33" t="str">
        <x:v>Episódio solo, entrevista, análise, série temática, narrativa, resumo de artigo e discussão de caso.</x:v>
      </x:c>
      <x:c r="E22" s="33" t="str">
        <x:v>A decidir</x:v>
      </x:c>
      <x:c r="F22" s="33" t="str">
        <x:v>A definir</x:v>
      </x:c>
      <x:c r="G22" s="33" t="str">
        <x:v>GTM-04</x:v>
      </x:c>
    </x:row>
    <x:row r="23" ht="62" customHeight="1">
      <x:c r="A23" s="33" t="str">
        <x:v>CAN-18</x:v>
      </x:c>
      <x:c r="B23" s="33" t="str">
        <x:v>Comunidade própria</x:v>
      </x:c>
      <x:c r="C23" s="33" t="str">
        <x:v>Retenção, aprendizagem, feedback e cocriação de produtos.</x:v>
      </x:c>
      <x:c r="D23" s="33" t="str">
        <x:v>Discussões, desafios, office hours, pesquisas, workshops, templates, testes beta e sessões de feedback.</x:v>
      </x:c>
      <x:c r="E23" s="33" t="str">
        <x:v>A decidir</x:v>
      </x:c>
      <x:c r="F23" s="33" t="str">
        <x:v>A definir</x:v>
      </x:c>
      <x:c r="G23" s="33" t="str">
        <x:v>GTM-04</x:v>
      </x:c>
    </x:row>
  </x:sheetData>
  <x:dataValidations count="1">
    <x:dataValidation type="list" sqref="E6:E23">
      <x:formula1>"A decidir,Ativo no lançamento,Posterior,Fora do escopo"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e39b538bc041ee"/>
  </x:tableParts>
</x:worksheet>
</file>